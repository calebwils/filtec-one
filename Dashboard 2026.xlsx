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charts/chart18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18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drawings/drawing14.xml" ContentType="application/vnd.openxmlformats-officedocument.drawing+xml"/>
  <Override PartName="/xl/charts/chart28.xml" ContentType="application/vnd.openxmlformats-officedocument.drawingml.chart+xml"/>
  <Override PartName="/xl/charts/chart17.xml" ContentType="application/vnd.openxmlformats-officedocument.drawingml.chart+xml"/>
  <Override PartName="/xl/drawings/drawing12.xml" ContentType="application/vnd.openxmlformats-officedocument.drawing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chart33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1505" firstSheet="11" activeTab="16"/>
  </bookViews>
  <sheets>
    <sheet name="JAN-25" sheetId="1" r:id="rId1"/>
    <sheet name="FEB-25" sheetId="3" r:id="rId2"/>
    <sheet name="MAR-25" sheetId="6" r:id="rId3"/>
    <sheet name="APR-25" sheetId="4" r:id="rId4"/>
    <sheet name="MAY-25" sheetId="7" r:id="rId5"/>
    <sheet name="JUNE-25" sheetId="8" r:id="rId6"/>
    <sheet name="JULY-25" sheetId="9" r:id="rId7"/>
    <sheet name="AUG-25" sheetId="10" r:id="rId8"/>
    <sheet name="SEP-25" sheetId="12" r:id="rId9"/>
    <sheet name="OCT - 25" sheetId="15" r:id="rId10"/>
    <sheet name="NOV - 25" sheetId="16" r:id="rId11"/>
    <sheet name="DEC - 25" sheetId="21" r:id="rId12"/>
    <sheet name="Yearly Summary" sheetId="2" r:id="rId13"/>
    <sheet name="JAN - 2026" sheetId="23" r:id="rId14"/>
    <sheet name="Feb -2026" sheetId="28" r:id="rId15"/>
    <sheet name="March - 2026" sheetId="27" r:id="rId16"/>
    <sheet name="April -2026" sheetId="29" r:id="rId17"/>
    <sheet name="Yearly Summary -2026" sheetId="24" r:id="rId18"/>
    <sheet name="Sheet6" sheetId="22" r:id="rId19"/>
  </sheets>
  <externalReferences>
    <externalReference r:id="rId20"/>
  </externalReferenc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24"/>
  <c r="C8"/>
  <c r="D25"/>
  <c r="C25"/>
  <c r="D7" i="29"/>
  <c r="D6"/>
  <c r="C7"/>
  <c r="C6"/>
  <c r="G18"/>
  <c r="D7" i="24"/>
  <c r="C7"/>
  <c r="D24"/>
  <c r="C24"/>
  <c r="D23"/>
  <c r="C23"/>
  <c r="D6"/>
  <c r="C6"/>
  <c r="G7" i="28"/>
  <c r="G7" i="27" s="1"/>
  <c r="G7" i="29" s="1"/>
  <c r="G6" i="28"/>
  <c r="G6" i="27" s="1"/>
  <c r="G6" i="29" s="1"/>
  <c r="F7" i="28"/>
  <c r="F7" i="27" s="1"/>
  <c r="F7" i="29" s="1"/>
  <c r="F6" i="28"/>
  <c r="F6" i="27" s="1"/>
  <c r="F6" i="29" s="1"/>
  <c r="D7" i="28"/>
  <c r="D6"/>
  <c r="C7"/>
  <c r="C6"/>
  <c r="G19"/>
  <c r="D7" i="27"/>
  <c r="D6"/>
  <c r="C7"/>
  <c r="C6"/>
  <c r="G18"/>
  <c r="D7" i="23"/>
  <c r="G7" s="1"/>
  <c r="D6"/>
  <c r="G6" s="1"/>
  <c r="C7"/>
  <c r="F7" s="1"/>
  <c r="C6"/>
  <c r="F6" s="1"/>
  <c r="H7" i="29" l="1"/>
  <c r="H6"/>
  <c r="E6"/>
  <c r="E7"/>
  <c r="H7" i="27"/>
  <c r="E7" i="28"/>
  <c r="H6"/>
  <c r="E6"/>
  <c r="H7"/>
  <c r="D5" i="24"/>
  <c r="C22"/>
  <c r="D22"/>
  <c r="C5"/>
  <c r="E6" i="27"/>
  <c r="H6"/>
  <c r="E7"/>
  <c r="E33" i="24" l="1"/>
  <c r="E32"/>
  <c r="E31"/>
  <c r="E30"/>
  <c r="E29"/>
  <c r="E28"/>
  <c r="E27"/>
  <c r="E26"/>
  <c r="E25"/>
  <c r="E24"/>
  <c r="E23"/>
  <c r="E22"/>
  <c r="E16"/>
  <c r="E15"/>
  <c r="E14"/>
  <c r="E13"/>
  <c r="E12"/>
  <c r="E11"/>
  <c r="E10"/>
  <c r="E9"/>
  <c r="E8"/>
  <c r="E7"/>
  <c r="E6"/>
  <c r="E5"/>
  <c r="G19" i="23"/>
  <c r="H7"/>
  <c r="E6"/>
  <c r="G18" i="21"/>
  <c r="G18" i="16"/>
  <c r="D7" i="21"/>
  <c r="D33" i="2" s="1"/>
  <c r="D6" i="21"/>
  <c r="C7"/>
  <c r="C6"/>
  <c r="D7" i="16"/>
  <c r="D6"/>
  <c r="D15" i="2" s="1"/>
  <c r="E15" s="1"/>
  <c r="C7" i="16"/>
  <c r="C6"/>
  <c r="C15" i="2" s="1"/>
  <c r="H6" i="23" l="1"/>
  <c r="E7"/>
  <c r="D32" i="2"/>
  <c r="C32"/>
  <c r="C16"/>
  <c r="C33"/>
  <c r="E33" s="1"/>
  <c r="D16"/>
  <c r="E7" i="21"/>
  <c r="E6"/>
  <c r="D7" i="15"/>
  <c r="D31" i="2" s="1"/>
  <c r="E31" s="1"/>
  <c r="D6" i="15"/>
  <c r="D14" i="2" s="1"/>
  <c r="C7" i="15"/>
  <c r="C31" i="2" s="1"/>
  <c r="C6" i="15"/>
  <c r="C14" i="2" s="1"/>
  <c r="E16" l="1"/>
  <c r="E32"/>
  <c r="E14"/>
  <c r="E13" l="1"/>
  <c r="E7" i="16"/>
  <c r="E6"/>
  <c r="E18" i="15"/>
  <c r="E7"/>
  <c r="E6"/>
  <c r="D5" i="12"/>
  <c r="C13" i="2"/>
  <c r="E30"/>
  <c r="C30"/>
  <c r="E5" i="12"/>
  <c r="F6" i="15" s="1"/>
  <c r="F6" i="16" s="1"/>
  <c r="F6" i="21" s="1"/>
  <c r="D17" i="12"/>
  <c r="D6"/>
  <c r="D29" i="2"/>
  <c r="C29"/>
  <c r="E10"/>
  <c r="D12"/>
  <c r="C12"/>
  <c r="E18" i="10"/>
  <c r="E7"/>
  <c r="E6"/>
  <c r="D28" i="2"/>
  <c r="E28" s="1"/>
  <c r="C28"/>
  <c r="D11"/>
  <c r="C11"/>
  <c r="E11" s="1"/>
  <c r="E18" i="9"/>
  <c r="E7"/>
  <c r="E6"/>
  <c r="D27" i="2"/>
  <c r="E27" s="1"/>
  <c r="C27"/>
  <c r="D10"/>
  <c r="C10"/>
  <c r="E18" i="7"/>
  <c r="E8" i="8"/>
  <c r="E7"/>
  <c r="E12" i="2" l="1"/>
  <c r="E29"/>
  <c r="E19" i="8"/>
  <c r="D26" i="2"/>
  <c r="C26"/>
  <c r="D9"/>
  <c r="E9" s="1"/>
  <c r="C9"/>
  <c r="G7" i="7"/>
  <c r="G6"/>
  <c r="G7" i="8" s="1"/>
  <c r="F7" i="7"/>
  <c r="F8" i="8" s="1"/>
  <c r="F7" i="9" s="1"/>
  <c r="F7" i="10" s="1"/>
  <c r="E6" i="12" s="1"/>
  <c r="F6" i="7"/>
  <c r="F7" i="8" s="1"/>
  <c r="F6" i="9" s="1"/>
  <c r="E7" i="7"/>
  <c r="E6"/>
  <c r="H7" l="1"/>
  <c r="G8" i="8"/>
  <c r="G6" i="9"/>
  <c r="H7" i="8"/>
  <c r="H6" i="7"/>
  <c r="E26" i="2"/>
  <c r="D25"/>
  <c r="E25" s="1"/>
  <c r="C25"/>
  <c r="E6" i="4"/>
  <c r="D8" i="2"/>
  <c r="E8" s="1"/>
  <c r="C8"/>
  <c r="G7" i="4"/>
  <c r="F6"/>
  <c r="E7"/>
  <c r="E18"/>
  <c r="D24" i="2"/>
  <c r="C24"/>
  <c r="D7"/>
  <c r="E7" s="1"/>
  <c r="C7"/>
  <c r="E18" i="6"/>
  <c r="E18" i="3"/>
  <c r="G7" i="6"/>
  <c r="G6"/>
  <c r="G6" i="4" s="1"/>
  <c r="H6" s="1"/>
  <c r="F7" i="6"/>
  <c r="F7" i="4" s="1"/>
  <c r="F6" i="6"/>
  <c r="H6" s="1"/>
  <c r="E7"/>
  <c r="E6"/>
  <c r="E23" i="2"/>
  <c r="D23"/>
  <c r="C23"/>
  <c r="D6"/>
  <c r="C6"/>
  <c r="C5"/>
  <c r="G7" i="3"/>
  <c r="H7" s="1"/>
  <c r="G6"/>
  <c r="F7"/>
  <c r="F6"/>
  <c r="H6" s="1"/>
  <c r="E7"/>
  <c r="E6"/>
  <c r="D5" i="2"/>
  <c r="E5" s="1"/>
  <c r="C22"/>
  <c r="D22"/>
  <c r="E22" s="1"/>
  <c r="H6" i="1"/>
  <c r="E18"/>
  <c r="H7"/>
  <c r="E7"/>
  <c r="E6"/>
  <c r="H7" i="4" l="1"/>
  <c r="G7" i="9"/>
  <c r="H8" i="8"/>
  <c r="H6" i="9"/>
  <c r="G6" i="10"/>
  <c r="H7" i="6"/>
  <c r="E6" i="2"/>
  <c r="E24"/>
  <c r="F5" i="12" l="1"/>
  <c r="H6" i="10"/>
  <c r="H7" i="9"/>
  <c r="G7" i="10"/>
  <c r="G6" i="15" l="1"/>
  <c r="G5" i="12"/>
  <c r="F6"/>
  <c r="H7" i="10"/>
  <c r="G6" i="16" l="1"/>
  <c r="H6" i="15"/>
  <c r="G7"/>
  <c r="F7"/>
  <c r="F7" i="16" s="1"/>
  <c r="F7" i="21" s="1"/>
  <c r="G6" i="12"/>
  <c r="G6" i="21" l="1"/>
  <c r="H6" s="1"/>
  <c r="H6" i="16"/>
  <c r="G7"/>
  <c r="H7" i="15"/>
  <c r="G7" i="21" l="1"/>
  <c r="H7" s="1"/>
  <c r="H7" i="16"/>
</calcChain>
</file>

<file path=xl/sharedStrings.xml><?xml version="1.0" encoding="utf-8"?>
<sst xmlns="http://schemas.openxmlformats.org/spreadsheetml/2006/main" count="374" uniqueCount="88">
  <si>
    <t>Month</t>
  </si>
  <si>
    <t>Monthly</t>
  </si>
  <si>
    <t>Yearly</t>
  </si>
  <si>
    <t>%</t>
  </si>
  <si>
    <t>Sales</t>
  </si>
  <si>
    <t>Collection</t>
  </si>
  <si>
    <t>As on date</t>
  </si>
  <si>
    <t>Total</t>
  </si>
  <si>
    <t>Repeat Order</t>
  </si>
  <si>
    <t>Customer Onboarding:</t>
  </si>
  <si>
    <t>Marketing Statistics:</t>
  </si>
  <si>
    <t>Business Dashboard</t>
  </si>
  <si>
    <r>
      <t>Achieved(</t>
    </r>
    <r>
      <rPr>
        <sz val="11"/>
        <color theme="1"/>
        <rFont val="Calibri"/>
        <family val="2"/>
      </rPr>
      <t>₹)</t>
    </r>
  </si>
  <si>
    <t>Sales:</t>
  </si>
  <si>
    <t>Collection:</t>
  </si>
  <si>
    <r>
      <t>Coll. Target(</t>
    </r>
    <r>
      <rPr>
        <sz val="11"/>
        <color theme="1"/>
        <rFont val="Calibri"/>
        <family val="2"/>
      </rPr>
      <t>₹)</t>
    </r>
  </si>
  <si>
    <t>Target(₹)</t>
  </si>
  <si>
    <t>Achieved(₹)</t>
  </si>
  <si>
    <t>Month: JAN-2025</t>
  </si>
  <si>
    <t>This Month (Newly Add)</t>
  </si>
  <si>
    <t>Highlights:</t>
  </si>
  <si>
    <t>As on date (Existing)</t>
  </si>
  <si>
    <t>1. Das hardware ordered  81,592.00  as top sales.</t>
  </si>
  <si>
    <t>2. Plumber meeting organised at Nigam sanitary.</t>
  </si>
  <si>
    <t>Month: FEB-2025</t>
  </si>
  <si>
    <t>Month: MAR-2025</t>
  </si>
  <si>
    <t>1. Barunei ordered 1,26,054   as top sales.</t>
  </si>
  <si>
    <t>1. Pradhan Sanitary ordered 93,893 as top sales.</t>
  </si>
  <si>
    <t>2. Plumber meeting organised at Biswal Sanitary</t>
  </si>
  <si>
    <t>Month: MAY-2025</t>
  </si>
  <si>
    <t>Month: APR-2025</t>
  </si>
  <si>
    <t>1. Tarini Sanitary, Babar ordered 65,942 as top sales</t>
  </si>
  <si>
    <t>Mamata Saniatry, Gopalpur ordered 79,860 as top sales</t>
  </si>
  <si>
    <t>2.Plumber meeting organised at Biswal Sanitary.</t>
  </si>
  <si>
    <t>1. Tarini Sanitary, Babar ordered 65,942 as top asels.</t>
  </si>
  <si>
    <t>Month: JUNE-2025</t>
  </si>
  <si>
    <t>Month: JULY-2025</t>
  </si>
  <si>
    <t>M/s Jagannath Sanitry &amp; Hardware  ordered 25,255 as top sales.</t>
  </si>
  <si>
    <t>Month: AUG-2025</t>
  </si>
  <si>
    <r>
      <t>Sales Target(</t>
    </r>
    <r>
      <rPr>
        <b/>
        <sz val="11"/>
        <color theme="1"/>
        <rFont val="Calibri"/>
        <family val="2"/>
      </rPr>
      <t>₹)</t>
    </r>
  </si>
  <si>
    <t>Parida sanitary  ordered 1,03,581 as top sales.</t>
  </si>
  <si>
    <t>Month: SEP - 2025</t>
  </si>
  <si>
    <t>New Dealer Add</t>
  </si>
  <si>
    <t>Sl No</t>
  </si>
  <si>
    <t>Name</t>
  </si>
  <si>
    <t>Basudev Sanitary</t>
  </si>
  <si>
    <t>Sunita hard wear &amp;sanitary</t>
  </si>
  <si>
    <t>MAHAVIR SANITARIUM</t>
  </si>
  <si>
    <t>Nilachal Supply</t>
  </si>
  <si>
    <t>M/S Jagannath Sanitary Ordered 53110 As Top Sale</t>
  </si>
  <si>
    <t>Gorekhanath Supply Agency</t>
  </si>
  <si>
    <t>Hanuman Sanitary</t>
  </si>
  <si>
    <t>M/S Rudra Sanitary Repeat Order - 3</t>
  </si>
  <si>
    <t>Month: OCT- 2025</t>
  </si>
  <si>
    <t>Collection Achieved: Kendrapara= 254952 , Jajpur= 00 , Bhadrak= 00 , Jagatsinghpur= 69692, Jharsuguda= 51337</t>
  </si>
  <si>
    <t xml:space="preserve"> Depak Sanitary Newly Ad</t>
  </si>
  <si>
    <t xml:space="preserve">Pradhana Enterprises Ordered 24000 As Top Collection </t>
  </si>
  <si>
    <t xml:space="preserve">Depak Sanitary Ordered 90701 As Top Sale </t>
  </si>
  <si>
    <t>TOTAL= 416704</t>
  </si>
  <si>
    <t>TOTAL= 375981</t>
  </si>
  <si>
    <t>Sales Achieved: Kendrapara=315619, Jajpur=8427 , Bhadrak= 00, Jagatsinghpur=78048 , Jharsuguda= 14610</t>
  </si>
  <si>
    <t>Month: NOV- 2025</t>
  </si>
  <si>
    <t>Month: Dec- 2025</t>
  </si>
  <si>
    <t>Sales Achieved: Kendrapara=301511, Jajpur=9411, Bhadrak= 6565, Jagatsinghpur=95857 , Jharsuguda=62004</t>
  </si>
  <si>
    <t>Collection Achieved: Kendrapara= 286383 , Jajpur= 4000 , Bhadrak= 00 , Jagatsinghpur= 72005, Jharsuguda= 16637</t>
  </si>
  <si>
    <t>Das Hardware ordered -73725 As Top Sale</t>
  </si>
  <si>
    <t>Parida Sanitary Ordered - 33000 As Top Collection</t>
  </si>
  <si>
    <t>TOTAL= 475351</t>
  </si>
  <si>
    <t>TOTAL= 379025</t>
  </si>
  <si>
    <t>Sales Achieved: Kendrapara= 296829, Jajpur=00 , Bhadrak= 3906, Jagatsinghpur=341040 , Jharsuguda= 25860</t>
  </si>
  <si>
    <t>Collection Achieved: Kendrapara= 281396 , Jajpur= 1500 , Bhadrak= 3906, Jagatsinghpur= 97876, Jharsuguda= 24282</t>
  </si>
  <si>
    <t>Month:- Jan - 2026</t>
  </si>
  <si>
    <t>Sales Achieved: Kendrapara=385671 , Jajpur=00 , Bhadrak= 00, Jagatsinghpur=266132 , Jharsuguda= 63459</t>
  </si>
  <si>
    <t>Collection Achieved: Kendrapara= 323040, Jajpur=4000 , Bhadrak= 00, Jagatsinghpur=297697 , Jharsuguda= 49773</t>
  </si>
  <si>
    <t>TOTAL= 715262</t>
  </si>
  <si>
    <t>TOTAL= 674510</t>
  </si>
  <si>
    <t>Sales Achieved: Kendrapara=327556 , Jajpur=00 , Bhadrak= 5726, Jagatsinghpur=301751 , Jharsuguda= 234705</t>
  </si>
  <si>
    <t>Collection Achieved: Kendrapara= 394923, Jajpur=3000 , Bhadrak= 5726, Jagatsinghpur=264320 , Jharsuguda= 148435</t>
  </si>
  <si>
    <t>TOTAL= 869738</t>
  </si>
  <si>
    <t>TOTAL= 816404</t>
  </si>
  <si>
    <t>.</t>
  </si>
  <si>
    <t>Sales Achieved: Kendrapara=7,41,667 , Jajpur=00 , Bhadrak= 00, Jagatsinghpur=13995 , Jharsuguda= 1,07,638</t>
  </si>
  <si>
    <t>Collection Achieved: Kendrapara= 435825, Jajpur=2800 , Bhadrak= 00, Jagatsinghpur=130500 , Jharsuguda= 111887</t>
  </si>
  <si>
    <t xml:space="preserve"> Sanitary Ordered 90701 As Top Sale </t>
  </si>
  <si>
    <t>TOTAL= 863300</t>
  </si>
  <si>
    <t>TOTAL= 681012</t>
  </si>
  <si>
    <t>5 Dealer Newly Ad</t>
  </si>
  <si>
    <t>Month:- Apr - 2026</t>
  </si>
</sst>
</file>

<file path=xl/styles.xml><?xml version="1.0" encoding="utf-8"?>
<styleSheet xmlns="http://schemas.openxmlformats.org/spreadsheetml/2006/main">
  <numFmts count="4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_ [$₹-445]\ * #,##0.00_ ;_ [$₹-445]\ * \-#,##0.00_ ;_ [$₹-445]\ * &quot;-&quot;??_ ;_ @_ 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7" fontId="0" fillId="0" borderId="1" xfId="0" applyNumberFormat="1" applyBorder="1"/>
    <xf numFmtId="9" fontId="0" fillId="0" borderId="1" xfId="1" applyFont="1" applyBorder="1"/>
    <xf numFmtId="0" fontId="0" fillId="0" borderId="2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9" xfId="0" applyBorder="1" applyAlignment="1">
      <alignment vertical="center"/>
    </xf>
    <xf numFmtId="9" fontId="0" fillId="0" borderId="1" xfId="1" applyFont="1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44" fontId="0" fillId="0" borderId="26" xfId="2" applyFon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8" fontId="0" fillId="0" borderId="26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0" borderId="26" xfId="0" applyNumberFormat="1" applyBorder="1" applyAlignment="1">
      <alignment horizontal="center" vertical="center"/>
    </xf>
    <xf numFmtId="44" fontId="0" fillId="0" borderId="1" xfId="0" applyNumberFormat="1" applyBorder="1"/>
    <xf numFmtId="44" fontId="0" fillId="0" borderId="1" xfId="2" applyFont="1" applyBorder="1"/>
    <xf numFmtId="8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3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9" fontId="0" fillId="0" borderId="0" xfId="1" applyFont="1" applyBorder="1"/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8" fontId="0" fillId="0" borderId="1" xfId="2" applyNumberFormat="1" applyFont="1" applyBorder="1"/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27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6313856"/>
        <c:axId val="136368896"/>
      </c:barChart>
      <c:dateAx>
        <c:axId val="136313856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8896"/>
        <c:crosses val="autoZero"/>
        <c:auto val="1"/>
        <c:lblOffset val="100"/>
        <c:baseTimeUnit val="months"/>
      </c:dateAx>
      <c:valAx>
        <c:axId val="1363688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1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6222976"/>
        <c:axId val="136237056"/>
      </c:barChart>
      <c:dateAx>
        <c:axId val="136222976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37056"/>
        <c:crosses val="autoZero"/>
        <c:auto val="1"/>
        <c:lblOffset val="100"/>
        <c:baseTimeUnit val="months"/>
      </c:dateAx>
      <c:valAx>
        <c:axId val="1362370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7086848"/>
        <c:axId val="137088384"/>
      </c:barChart>
      <c:dateAx>
        <c:axId val="137086848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8384"/>
        <c:crosses val="autoZero"/>
        <c:auto val="1"/>
        <c:lblOffset val="100"/>
        <c:baseTimeUnit val="months"/>
      </c:dateAx>
      <c:valAx>
        <c:axId val="1370883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33" l="0.70000000000000062" r="0.70000000000000062" t="0.750000000000008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7130752"/>
        <c:axId val="137132288"/>
      </c:barChart>
      <c:dateAx>
        <c:axId val="137130752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2288"/>
        <c:crosses val="autoZero"/>
        <c:auto val="1"/>
        <c:lblOffset val="100"/>
        <c:baseTimeUnit val="months"/>
      </c:dateAx>
      <c:valAx>
        <c:axId val="13713228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33" l="0.70000000000000062" r="0.70000000000000062" t="0.750000000000008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7179520"/>
        <c:axId val="137181056"/>
      </c:barChart>
      <c:dateAx>
        <c:axId val="137179520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1056"/>
        <c:crosses val="autoZero"/>
        <c:auto val="1"/>
        <c:lblOffset val="100"/>
      </c:dateAx>
      <c:valAx>
        <c:axId val="1371810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7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7300992"/>
        <c:axId val="137310976"/>
      </c:barChart>
      <c:dateAx>
        <c:axId val="137300992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10976"/>
        <c:crosses val="autoZero"/>
        <c:auto val="1"/>
        <c:lblOffset val="100"/>
      </c:dateAx>
      <c:valAx>
        <c:axId val="1373109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7497216"/>
        <c:axId val="137511296"/>
      </c:barChart>
      <c:dateAx>
        <c:axId val="137497216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11296"/>
        <c:crosses val="autoZero"/>
        <c:auto val="1"/>
        <c:lblOffset val="100"/>
      </c:dateAx>
      <c:valAx>
        <c:axId val="1375112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33" l="0.70000000000000062" r="0.70000000000000062" t="0.750000000000008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7541120"/>
        <c:axId val="137542656"/>
      </c:barChart>
      <c:dateAx>
        <c:axId val="137541120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42656"/>
        <c:crosses val="autoZero"/>
        <c:auto val="1"/>
        <c:lblOffset val="100"/>
      </c:dateAx>
      <c:valAx>
        <c:axId val="1375426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4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7770112"/>
        <c:axId val="137771648"/>
      </c:barChart>
      <c:dateAx>
        <c:axId val="137770112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71648"/>
        <c:crosses val="autoZero"/>
        <c:auto val="1"/>
        <c:lblOffset val="100"/>
      </c:dateAx>
      <c:valAx>
        <c:axId val="13777164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7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7818880"/>
        <c:axId val="137820416"/>
      </c:barChart>
      <c:dateAx>
        <c:axId val="137818880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0416"/>
        <c:crosses val="autoZero"/>
        <c:auto val="1"/>
        <c:lblOffset val="100"/>
      </c:dateAx>
      <c:valAx>
        <c:axId val="13782041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1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33459998387573792"/>
          <c:y val="0.29239915074309974"/>
          <c:w val="0.62444438472494657"/>
          <c:h val="0.17382750723038587"/>
        </c:manualLayout>
      </c:layout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7900800"/>
        <c:axId val="137902336"/>
      </c:barChart>
      <c:dateAx>
        <c:axId val="137900800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2336"/>
        <c:crosses val="autoZero"/>
        <c:auto val="1"/>
        <c:lblOffset val="100"/>
      </c:dateAx>
      <c:valAx>
        <c:axId val="13790233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7944064"/>
        <c:axId val="137822976"/>
      </c:barChart>
      <c:dateAx>
        <c:axId val="137944064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2976"/>
        <c:crosses val="autoZero"/>
        <c:auto val="1"/>
        <c:lblOffset val="100"/>
      </c:dateAx>
      <c:valAx>
        <c:axId val="1378229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33459998387573803"/>
          <c:y val="0.29239915074309974"/>
          <c:w val="0.62444438472494657"/>
          <c:h val="0.17382750723038587"/>
        </c:manualLayout>
      </c:layout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7988736"/>
        <c:axId val="137998720"/>
      </c:barChart>
      <c:dateAx>
        <c:axId val="137988736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98720"/>
        <c:crosses val="autoZero"/>
        <c:auto val="1"/>
        <c:lblOffset val="100"/>
      </c:dateAx>
      <c:valAx>
        <c:axId val="13799872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8126464"/>
        <c:axId val="138128000"/>
      </c:barChart>
      <c:dateAx>
        <c:axId val="138126464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8000"/>
        <c:crosses val="autoZero"/>
        <c:auto val="1"/>
        <c:lblOffset val="100"/>
      </c:dateAx>
      <c:valAx>
        <c:axId val="13812800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33459998387573825"/>
          <c:y val="0.29239915074309974"/>
          <c:w val="0.62444438472494657"/>
          <c:h val="0.17382750723038587"/>
        </c:manualLayout>
      </c:layout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8162560"/>
        <c:axId val="138164096"/>
      </c:barChart>
      <c:dateAx>
        <c:axId val="138162560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64096"/>
        <c:crosses val="autoZero"/>
        <c:auto val="1"/>
        <c:lblOffset val="100"/>
      </c:dateAx>
      <c:valAx>
        <c:axId val="1381640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6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8214400"/>
        <c:axId val="138031872"/>
      </c:barChart>
      <c:dateAx>
        <c:axId val="138214400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31872"/>
        <c:crosses val="autoZero"/>
        <c:auto val="1"/>
        <c:lblOffset val="100"/>
      </c:dateAx>
      <c:valAx>
        <c:axId val="1380318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44" l="0.70000000000000062" r="0.70000000000000062" t="0.75000000000000944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layout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33459998387573842"/>
          <c:y val="0.29239915074309974"/>
          <c:w val="0.62444438472494657"/>
          <c:h val="0.17382750723038587"/>
        </c:manualLayout>
      </c:layout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8279552"/>
        <c:axId val="138285440"/>
      </c:barChart>
      <c:dateAx>
        <c:axId val="138279552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5440"/>
        <c:crosses val="autoZero"/>
        <c:auto val="1"/>
        <c:lblOffset val="100"/>
      </c:dateAx>
      <c:valAx>
        <c:axId val="13828544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7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8315264"/>
        <c:axId val="138316800"/>
      </c:barChart>
      <c:dateAx>
        <c:axId val="138315264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6800"/>
        <c:crosses val="autoZero"/>
        <c:auto val="1"/>
        <c:lblOffset val="100"/>
      </c:dateAx>
      <c:valAx>
        <c:axId val="13831680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33459998387573853"/>
          <c:y val="0.29239915074309974"/>
          <c:w val="0.62444438472494657"/>
          <c:h val="0.17382750723038587"/>
        </c:manualLayout>
      </c:layout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8581120"/>
        <c:axId val="138582656"/>
      </c:barChart>
      <c:dateAx>
        <c:axId val="138581120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2656"/>
        <c:crosses val="autoZero"/>
        <c:auto val="1"/>
        <c:lblOffset val="100"/>
      </c:dateAx>
      <c:valAx>
        <c:axId val="1385826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44" l="0.70000000000000062" r="0.70000000000000062" t="0.75000000000000944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7715712"/>
        <c:axId val="137717248"/>
      </c:barChart>
      <c:dateAx>
        <c:axId val="137715712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17248"/>
        <c:crosses val="autoZero"/>
        <c:auto val="1"/>
        <c:lblOffset val="100"/>
      </c:dateAx>
      <c:valAx>
        <c:axId val="13771724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1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33459998387573875"/>
          <c:y val="0.29239915074309974"/>
          <c:w val="0.62444438472494657"/>
          <c:h val="0.17382750723038587"/>
        </c:manualLayout>
      </c:layout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8813440"/>
        <c:axId val="138814976"/>
      </c:barChart>
      <c:dateAx>
        <c:axId val="138813440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4976"/>
        <c:crosses val="autoZero"/>
        <c:auto val="1"/>
        <c:lblOffset val="100"/>
      </c:dateAx>
      <c:valAx>
        <c:axId val="1388149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8857088"/>
        <c:axId val="138867072"/>
      </c:barChart>
      <c:dateAx>
        <c:axId val="138857088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7072"/>
        <c:crosses val="autoZero"/>
        <c:auto val="1"/>
        <c:lblOffset val="100"/>
      </c:dateAx>
      <c:valAx>
        <c:axId val="1388670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01" l="0.70000000000000062" r="0.70000000000000062" t="0.750000000000010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layout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33459998387573892"/>
          <c:y val="0.29239915074309974"/>
          <c:w val="0.62444438472494657"/>
          <c:h val="0.17382750723038587"/>
        </c:manualLayout>
      </c:layout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5C7-4015-BA85-23E412D60880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5C7-4015-BA85-23E412D60880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5C7-4015-BA85-23E412D60880}"/>
            </c:ext>
          </c:extLst>
        </c:ser>
        <c:gapWidth val="219"/>
        <c:axId val="138795648"/>
        <c:axId val="138936704"/>
      </c:barChart>
      <c:dateAx>
        <c:axId val="138795648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6704"/>
        <c:crosses val="autoZero"/>
        <c:auto val="1"/>
        <c:lblOffset val="100"/>
      </c:dateAx>
      <c:valAx>
        <c:axId val="13893670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FA-437D-8A47-21FDC6956AA5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FA-437D-8A47-21FDC6956AA5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FA-437D-8A47-21FDC6956AA5}"/>
            </c:ext>
          </c:extLst>
        </c:ser>
        <c:gapWidth val="219"/>
        <c:overlap val="-27"/>
        <c:axId val="138987008"/>
        <c:axId val="138988544"/>
      </c:barChart>
      <c:dateAx>
        <c:axId val="138987008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8544"/>
        <c:crosses val="autoZero"/>
        <c:auto val="1"/>
        <c:lblOffset val="100"/>
      </c:dateAx>
      <c:valAx>
        <c:axId val="1389885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033" l="0.70000000000000062" r="0.70000000000000062" t="0.75000000000001033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Summary'!$C$5:$C$16</c:f>
              <c:numCache>
                <c:formatCode>_ "₹"\ * #,##0.00_ ;_ "₹"\ * \-#,##0.00_ ;_ "₹"\ * "-"??_ ;_ @_ </c:formatCode>
                <c:ptCount val="12"/>
                <c:pt idx="0">
                  <c:v>620000</c:v>
                </c:pt>
                <c:pt idx="1">
                  <c:v>510000</c:v>
                </c:pt>
                <c:pt idx="2">
                  <c:v>650000</c:v>
                </c:pt>
                <c:pt idx="3">
                  <c:v>1430000</c:v>
                </c:pt>
                <c:pt idx="4">
                  <c:v>1510000</c:v>
                </c:pt>
                <c:pt idx="5">
                  <c:v>720000</c:v>
                </c:pt>
                <c:pt idx="6">
                  <c:v>390000</c:v>
                </c:pt>
                <c:pt idx="7">
                  <c:v>666500</c:v>
                </c:pt>
                <c:pt idx="8">
                  <c:v>594000</c:v>
                </c:pt>
                <c:pt idx="9">
                  <c:v>711000</c:v>
                </c:pt>
                <c:pt idx="10">
                  <c:v>1016000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CE-44AF-A52F-80E8CE5AED9B}"/>
            </c:ext>
          </c:extLst>
        </c:ser>
        <c:ser>
          <c:idx val="1"/>
          <c:order val="1"/>
          <c:tx>
            <c:strRef>
              <c:f>'Yearly Summary'!$D$4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Summary'!$D$5:$D$16</c:f>
              <c:numCache>
                <c:formatCode>_ "₹"\ * #,##0.00_ ;_ "₹"\ * \-#,##0.00_ ;_ "₹"\ * "-"??_ ;_ @_ </c:formatCode>
                <c:ptCount val="12"/>
                <c:pt idx="0">
                  <c:v>321973</c:v>
                </c:pt>
                <c:pt idx="1">
                  <c:v>451920.45</c:v>
                </c:pt>
                <c:pt idx="2" formatCode="&quot;₹&quot;\ #,##0.00;[Red]&quot;₹&quot;\ \-#,##0.00">
                  <c:v>351515</c:v>
                </c:pt>
                <c:pt idx="3" formatCode="&quot;₹&quot;\ #,##0.00;[Red]&quot;₹&quot;\ \-#,##0.00">
                  <c:v>227073.43</c:v>
                </c:pt>
                <c:pt idx="4" formatCode="&quot;₹&quot;\ #,##0.00;[Red]&quot;₹&quot;\ \-#,##0.00">
                  <c:v>673893</c:v>
                </c:pt>
                <c:pt idx="5" formatCode="&quot;₹&quot;\ #,##0.00;[Red]&quot;₹&quot;\ \-#,##0.00">
                  <c:v>326768</c:v>
                </c:pt>
                <c:pt idx="6" formatCode="&quot;₹&quot;\ #,##0.00;[Red]&quot;₹&quot;\ \-#,##0.00">
                  <c:v>55407</c:v>
                </c:pt>
                <c:pt idx="7" formatCode="&quot;₹&quot;\ #,##0.00;[Red]&quot;₹&quot;\ \-#,##0.00">
                  <c:v>439520</c:v>
                </c:pt>
                <c:pt idx="8" formatCode="&quot;₹&quot;\ #,##0.00;[Red]&quot;₹&quot;\ \-#,##0.00">
                  <c:v>285017.09999999998</c:v>
                </c:pt>
                <c:pt idx="9">
                  <c:v>467760</c:v>
                </c:pt>
                <c:pt idx="10" formatCode="&quot;₹&quot;\ #,##0.00;[Red]&quot;₹&quot;\ \-#,##0.00">
                  <c:v>475351</c:v>
                </c:pt>
                <c:pt idx="11" formatCode="&quot;₹&quot;\ #,##0.00;[Red]&quot;₹&quot;\ \-#,##0.00">
                  <c:v>417010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CE-44AF-A52F-80E8CE5AED9B}"/>
            </c:ext>
          </c:extLst>
        </c:ser>
        <c:ser>
          <c:idx val="2"/>
          <c:order val="2"/>
          <c:tx>
            <c:strRef>
              <c:f>'Yearly Summary'!$E$4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Summary'!$B$5:$B$16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Summary'!$E$5:$E$16</c:f>
              <c:numCache>
                <c:formatCode>0%</c:formatCode>
                <c:ptCount val="12"/>
                <c:pt idx="0">
                  <c:v>0.51931129032258061</c:v>
                </c:pt>
                <c:pt idx="1">
                  <c:v>0.88611852941176472</c:v>
                </c:pt>
                <c:pt idx="2">
                  <c:v>0.54079230769230768</c:v>
                </c:pt>
                <c:pt idx="3">
                  <c:v>0.15879260839160839</c:v>
                </c:pt>
                <c:pt idx="4">
                  <c:v>0.44628675496688741</c:v>
                </c:pt>
                <c:pt idx="5">
                  <c:v>0.45384444444444444</c:v>
                </c:pt>
                <c:pt idx="6">
                  <c:v>0.14206923076923078</c:v>
                </c:pt>
                <c:pt idx="7">
                  <c:v>0.65944486121530388</c:v>
                </c:pt>
                <c:pt idx="8">
                  <c:v>0.47982676767676763</c:v>
                </c:pt>
                <c:pt idx="9">
                  <c:v>0.65789029535864973</c:v>
                </c:pt>
                <c:pt idx="10">
                  <c:v>0.46786515748031499</c:v>
                </c:pt>
                <c:pt idx="11">
                  <c:v>0.48489534883720931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7CE-44AF-A52F-80E8CE5AED9B}"/>
            </c:ext>
          </c:extLst>
        </c:ser>
        <c:gapWidth val="219"/>
        <c:axId val="140514048"/>
        <c:axId val="140515584"/>
      </c:barChart>
      <c:dateAx>
        <c:axId val="140514048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15584"/>
        <c:crosses val="autoZero"/>
        <c:auto val="1"/>
        <c:lblOffset val="100"/>
        <c:baseTimeUnit val="months"/>
      </c:dateAx>
      <c:valAx>
        <c:axId val="1405155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1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Summary'!$C$22:$C$33</c:f>
              <c:numCache>
                <c:formatCode>_ "₹"\ * #,##0.00_ ;_ "₹"\ * \-#,##0.00_ ;_ "₹"\ * "-"??_ ;_ @_ </c:formatCode>
                <c:ptCount val="12"/>
                <c:pt idx="0">
                  <c:v>220000</c:v>
                </c:pt>
                <c:pt idx="1">
                  <c:v>222000</c:v>
                </c:pt>
                <c:pt idx="2">
                  <c:v>260000</c:v>
                </c:pt>
                <c:pt idx="3">
                  <c:v>535000</c:v>
                </c:pt>
                <c:pt idx="4">
                  <c:v>400000</c:v>
                </c:pt>
                <c:pt idx="5">
                  <c:v>400000</c:v>
                </c:pt>
                <c:pt idx="6">
                  <c:v>295000</c:v>
                </c:pt>
                <c:pt idx="7">
                  <c:v>697000</c:v>
                </c:pt>
                <c:pt idx="8">
                  <c:v>980000</c:v>
                </c:pt>
                <c:pt idx="9">
                  <c:v>1002500</c:v>
                </c:pt>
                <c:pt idx="10">
                  <c:v>990449</c:v>
                </c:pt>
                <c:pt idx="11">
                  <c:v>1086000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2B-4F7F-B5FF-C8F837D435BE}"/>
            </c:ext>
          </c:extLst>
        </c:ser>
        <c:ser>
          <c:idx val="1"/>
          <c:order val="1"/>
          <c:tx>
            <c:strRef>
              <c:f>'Yearly Summary'!$D$21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Summary'!$D$22:$D$33</c:f>
              <c:numCache>
                <c:formatCode>_ "₹"\ * #,##0.00_ ;_ "₹"\ * \-#,##0.00_ ;_ "₹"\ * "-"??_ ;_ @_ </c:formatCode>
                <c:ptCount val="12"/>
                <c:pt idx="0">
                  <c:v>111100</c:v>
                </c:pt>
                <c:pt idx="1">
                  <c:v>207410</c:v>
                </c:pt>
                <c:pt idx="2" formatCode="&quot;₹&quot;\ #,##0.00;[Red]&quot;₹&quot;\ \-#,##0.00">
                  <c:v>307751</c:v>
                </c:pt>
                <c:pt idx="3" formatCode="&quot;₹&quot;\ #,##0.00;[Red]&quot;₹&quot;\ \-#,##0.00">
                  <c:v>181311</c:v>
                </c:pt>
                <c:pt idx="4" formatCode="&quot;₹&quot;\ #,##0.00;[Red]&quot;₹&quot;\ \-#,##0.00">
                  <c:v>206705</c:v>
                </c:pt>
                <c:pt idx="5" formatCode="&quot;₹&quot;\ #,##0.00;[Red]&quot;₹&quot;\ \-#,##0.00">
                  <c:v>320832</c:v>
                </c:pt>
                <c:pt idx="6" formatCode="&quot;₹&quot;\ #,##0.00;[Red]&quot;₹&quot;\ \-#,##0.00">
                  <c:v>174491</c:v>
                </c:pt>
                <c:pt idx="7" formatCode="&quot;₹&quot;\ #,##0.00;[Red]&quot;₹&quot;\ \-#,##0.00">
                  <c:v>167829</c:v>
                </c:pt>
                <c:pt idx="8" formatCode="&quot;₹&quot;\ #,##0.00;[Red]&quot;₹&quot;\ \-#,##0.00">
                  <c:v>220028</c:v>
                </c:pt>
                <c:pt idx="9">
                  <c:v>525678</c:v>
                </c:pt>
                <c:pt idx="10" formatCode="&quot;₹&quot;\ #,##0.00;[Red]&quot;₹&quot;\ \-#,##0.00">
                  <c:v>379025</c:v>
                </c:pt>
                <c:pt idx="11" formatCode="&quot;₹&quot;\ #,##0.00;[Red]&quot;₹&quot;\ \-#,##0.00">
                  <c:v>375981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2B-4F7F-B5FF-C8F837D435BE}"/>
            </c:ext>
          </c:extLst>
        </c:ser>
        <c:ser>
          <c:idx val="2"/>
          <c:order val="2"/>
          <c:tx>
            <c:strRef>
              <c:f>'Yearly Summary'!$E$21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Summary'!$B$22:$B$33</c:f>
              <c:numCache>
                <c:formatCode>mmm/yy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'Yearly Summary'!$E$22:$E$33</c:f>
              <c:numCache>
                <c:formatCode>0%</c:formatCode>
                <c:ptCount val="12"/>
                <c:pt idx="0">
                  <c:v>0.505</c:v>
                </c:pt>
                <c:pt idx="1">
                  <c:v>0.93427927927927923</c:v>
                </c:pt>
                <c:pt idx="2">
                  <c:v>1.1836576923076922</c:v>
                </c:pt>
                <c:pt idx="3">
                  <c:v>0.33889906542056075</c:v>
                </c:pt>
                <c:pt idx="4">
                  <c:v>0.51676250000000001</c:v>
                </c:pt>
                <c:pt idx="5">
                  <c:v>0.80208000000000002</c:v>
                </c:pt>
                <c:pt idx="6">
                  <c:v>0.59149491525423725</c:v>
                </c:pt>
                <c:pt idx="7">
                  <c:v>0.24078766140602584</c:v>
                </c:pt>
                <c:pt idx="8">
                  <c:v>0.22451836734693878</c:v>
                </c:pt>
                <c:pt idx="9">
                  <c:v>0.52436708229426432</c:v>
                </c:pt>
                <c:pt idx="10">
                  <c:v>0.38267997645512286</c:v>
                </c:pt>
                <c:pt idx="11">
                  <c:v>0.34620718232044201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E2B-4F7F-B5FF-C8F837D435BE}"/>
            </c:ext>
          </c:extLst>
        </c:ser>
        <c:gapWidth val="219"/>
        <c:overlap val="-27"/>
        <c:axId val="140576640"/>
        <c:axId val="140578176"/>
      </c:barChart>
      <c:dateAx>
        <c:axId val="140576640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78176"/>
        <c:crosses val="autoZero"/>
        <c:auto val="1"/>
        <c:lblOffset val="100"/>
        <c:baseTimeUnit val="months"/>
      </c:dateAx>
      <c:valAx>
        <c:axId val="1405781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7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 -2026'!$C$21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-2026'!$C$22:$C$33</c:f>
              <c:numCache>
                <c:formatCode>_ "₹"\ * #,##0.00_ ;_ "₹"\ * \-#,##0.00_ ;_ "₹"\ * "-"??_ ;_ @_ </c:formatCode>
                <c:ptCount val="12"/>
                <c:pt idx="0">
                  <c:v>1233388</c:v>
                </c:pt>
                <c:pt idx="1">
                  <c:v>1356831</c:v>
                </c:pt>
                <c:pt idx="2">
                  <c:v>1340137</c:v>
                </c:pt>
                <c:pt idx="3">
                  <c:v>1454853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2B-4F7F-B5FF-C8F837D435BE}"/>
            </c:ext>
          </c:extLst>
        </c:ser>
        <c:ser>
          <c:idx val="1"/>
          <c:order val="1"/>
          <c:tx>
            <c:strRef>
              <c:f>'Yearly Summary -2026'!$D$21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-2026'!$D$22:$D$33</c:f>
              <c:numCache>
                <c:formatCode>"₹"\ #,##0.00;[Red]"₹"\ \-#,##0.00</c:formatCode>
                <c:ptCount val="12"/>
                <c:pt idx="0">
                  <c:v>408960</c:v>
                </c:pt>
                <c:pt idx="1">
                  <c:v>674510</c:v>
                </c:pt>
                <c:pt idx="2">
                  <c:v>816404</c:v>
                </c:pt>
                <c:pt idx="3">
                  <c:v>681012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2B-4F7F-B5FF-C8F837D435BE}"/>
            </c:ext>
          </c:extLst>
        </c:ser>
        <c:ser>
          <c:idx val="2"/>
          <c:order val="2"/>
          <c:tx>
            <c:strRef>
              <c:f>'Yearly Summary -2026'!$E$21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-2026'!$E$22:$E$33</c:f>
              <c:numCache>
                <c:formatCode>0%</c:formatCode>
                <c:ptCount val="12"/>
                <c:pt idx="0">
                  <c:v>0.33157449237385156</c:v>
                </c:pt>
                <c:pt idx="1">
                  <c:v>0.49712160173227177</c:v>
                </c:pt>
                <c:pt idx="2">
                  <c:v>0.60919443310646593</c:v>
                </c:pt>
                <c:pt idx="3">
                  <c:v>0.46809677678775796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E2B-4F7F-B5FF-C8F837D435BE}"/>
            </c:ext>
          </c:extLst>
        </c:ser>
        <c:gapWidth val="219"/>
        <c:overlap val="-27"/>
        <c:axId val="140647808"/>
        <c:axId val="140661888"/>
      </c:barChart>
      <c:dateAx>
        <c:axId val="140647808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61888"/>
        <c:crosses val="autoZero"/>
        <c:auto val="1"/>
        <c:lblOffset val="100"/>
        <c:baseTimeUnit val="months"/>
      </c:dateAx>
      <c:valAx>
        <c:axId val="14066188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4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 -2026'!$C$4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-2026'!$C$5:$C$16</c:f>
              <c:numCache>
                <c:formatCode>_ "₹"\ * #,##0.00_ ;_ "₹"\ * \-#,##0.00_ ;_ "₹"\ * "-"??_ ;_ @_ </c:formatCode>
                <c:ptCount val="12"/>
                <c:pt idx="0">
                  <c:v>983000</c:v>
                </c:pt>
                <c:pt idx="1">
                  <c:v>866000</c:v>
                </c:pt>
                <c:pt idx="2">
                  <c:v>768000</c:v>
                </c:pt>
                <c:pt idx="3">
                  <c:v>1050000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CE-44AF-A52F-80E8CE5AED9B}"/>
            </c:ext>
          </c:extLst>
        </c:ser>
        <c:ser>
          <c:idx val="1"/>
          <c:order val="1"/>
          <c:tx>
            <c:strRef>
              <c:f>'Yearly Summary -2026'!$D$4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-2026'!$D$5:$D$16</c:f>
              <c:numCache>
                <c:formatCode>"₹"\ #,##0.00;[Red]"₹"\ \-#,##0.00</c:formatCode>
                <c:ptCount val="12"/>
                <c:pt idx="0">
                  <c:v>667635</c:v>
                </c:pt>
                <c:pt idx="1">
                  <c:v>715262</c:v>
                </c:pt>
                <c:pt idx="2">
                  <c:v>869738</c:v>
                </c:pt>
                <c:pt idx="3">
                  <c:v>863300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CE-44AF-A52F-80E8CE5AED9B}"/>
            </c:ext>
          </c:extLst>
        </c:ser>
        <c:ser>
          <c:idx val="2"/>
          <c:order val="2"/>
          <c:tx>
            <c:strRef>
              <c:f>'Yearly Summary -2026'!$E$4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-2026'!$E$5:$E$16</c:f>
              <c:numCache>
                <c:formatCode>0%</c:formatCode>
                <c:ptCount val="12"/>
                <c:pt idx="0">
                  <c:v>0.67918107833163788</c:v>
                </c:pt>
                <c:pt idx="1">
                  <c:v>0.82593764434180139</c:v>
                </c:pt>
                <c:pt idx="2">
                  <c:v>1.1324713541666667</c:v>
                </c:pt>
                <c:pt idx="3">
                  <c:v>0.82219047619047614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7CE-44AF-A52F-80E8CE5AED9B}"/>
            </c:ext>
          </c:extLst>
        </c:ser>
        <c:gapWidth val="219"/>
        <c:axId val="140699904"/>
        <c:axId val="140713984"/>
      </c:barChart>
      <c:dateAx>
        <c:axId val="140699904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3984"/>
        <c:crosses val="autoZero"/>
        <c:auto val="1"/>
        <c:lblOffset val="100"/>
        <c:baseTimeUnit val="months"/>
      </c:dateAx>
      <c:valAx>
        <c:axId val="1407139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 -2026'!$C$21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-2026'!$C$22:$C$33</c:f>
              <c:numCache>
                <c:formatCode>_ "₹"\ * #,##0.00_ ;_ "₹"\ * \-#,##0.00_ ;_ "₹"\ * "-"??_ ;_ @_ </c:formatCode>
                <c:ptCount val="12"/>
                <c:pt idx="0">
                  <c:v>1233388</c:v>
                </c:pt>
                <c:pt idx="1">
                  <c:v>1356831</c:v>
                </c:pt>
                <c:pt idx="2">
                  <c:v>1340137</c:v>
                </c:pt>
                <c:pt idx="3">
                  <c:v>1454853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2B-4F7F-B5FF-C8F837D435BE}"/>
            </c:ext>
          </c:extLst>
        </c:ser>
        <c:ser>
          <c:idx val="1"/>
          <c:order val="1"/>
          <c:tx>
            <c:strRef>
              <c:f>'Yearly Summary -2026'!$D$21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-2026'!$D$22:$D$33</c:f>
              <c:numCache>
                <c:formatCode>"₹"\ #,##0.00;[Red]"₹"\ \-#,##0.00</c:formatCode>
                <c:ptCount val="12"/>
                <c:pt idx="0">
                  <c:v>408960</c:v>
                </c:pt>
                <c:pt idx="1">
                  <c:v>674510</c:v>
                </c:pt>
                <c:pt idx="2">
                  <c:v>816404</c:v>
                </c:pt>
                <c:pt idx="3">
                  <c:v>681012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2B-4F7F-B5FF-C8F837D435BE}"/>
            </c:ext>
          </c:extLst>
        </c:ser>
        <c:ser>
          <c:idx val="2"/>
          <c:order val="2"/>
          <c:tx>
            <c:strRef>
              <c:f>'Yearly Summary -2026'!$E$21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-2026'!$E$22:$E$33</c:f>
              <c:numCache>
                <c:formatCode>0%</c:formatCode>
                <c:ptCount val="12"/>
                <c:pt idx="0">
                  <c:v>0.33157449237385156</c:v>
                </c:pt>
                <c:pt idx="1">
                  <c:v>0.49712160173227177</c:v>
                </c:pt>
                <c:pt idx="2">
                  <c:v>0.60919443310646593</c:v>
                </c:pt>
                <c:pt idx="3">
                  <c:v>0.46809677678775796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E2B-4F7F-B5FF-C8F837D435BE}"/>
            </c:ext>
          </c:extLst>
        </c:ser>
        <c:gapWidth val="219"/>
        <c:overlap val="-27"/>
        <c:axId val="146241408"/>
        <c:axId val="146242944"/>
      </c:barChart>
      <c:dateAx>
        <c:axId val="146241408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42944"/>
        <c:crosses val="autoZero"/>
        <c:auto val="1"/>
        <c:lblOffset val="100"/>
        <c:baseTimeUnit val="months"/>
      </c:dateAx>
      <c:valAx>
        <c:axId val="1462429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4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 -2026'!$C$4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-2026'!$C$5:$C$16</c:f>
              <c:numCache>
                <c:formatCode>_ "₹"\ * #,##0.00_ ;_ "₹"\ * \-#,##0.00_ ;_ "₹"\ * "-"??_ ;_ @_ </c:formatCode>
                <c:ptCount val="12"/>
                <c:pt idx="0">
                  <c:v>983000</c:v>
                </c:pt>
                <c:pt idx="1">
                  <c:v>866000</c:v>
                </c:pt>
                <c:pt idx="2">
                  <c:v>768000</c:v>
                </c:pt>
                <c:pt idx="3">
                  <c:v>1050000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CE-44AF-A52F-80E8CE5AED9B}"/>
            </c:ext>
          </c:extLst>
        </c:ser>
        <c:ser>
          <c:idx val="1"/>
          <c:order val="1"/>
          <c:tx>
            <c:strRef>
              <c:f>'Yearly Summary -2026'!$D$4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-2026'!$D$5:$D$16</c:f>
              <c:numCache>
                <c:formatCode>"₹"\ #,##0.00;[Red]"₹"\ \-#,##0.00</c:formatCode>
                <c:ptCount val="12"/>
                <c:pt idx="0">
                  <c:v>667635</c:v>
                </c:pt>
                <c:pt idx="1">
                  <c:v>715262</c:v>
                </c:pt>
                <c:pt idx="2">
                  <c:v>869738</c:v>
                </c:pt>
                <c:pt idx="3">
                  <c:v>863300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CE-44AF-A52F-80E8CE5AED9B}"/>
            </c:ext>
          </c:extLst>
        </c:ser>
        <c:ser>
          <c:idx val="2"/>
          <c:order val="2"/>
          <c:tx>
            <c:strRef>
              <c:f>'Yearly Summary -2026'!$E$4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-2026'!$E$5:$E$16</c:f>
              <c:numCache>
                <c:formatCode>0%</c:formatCode>
                <c:ptCount val="12"/>
                <c:pt idx="0">
                  <c:v>0.67918107833163788</c:v>
                </c:pt>
                <c:pt idx="1">
                  <c:v>0.82593764434180139</c:v>
                </c:pt>
                <c:pt idx="2">
                  <c:v>1.1324713541666667</c:v>
                </c:pt>
                <c:pt idx="3">
                  <c:v>0.82219047619047614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7CE-44AF-A52F-80E8CE5AED9B}"/>
            </c:ext>
          </c:extLst>
        </c:ser>
        <c:gapWidth val="219"/>
        <c:axId val="146281216"/>
        <c:axId val="146282752"/>
      </c:barChart>
      <c:dateAx>
        <c:axId val="146281216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2752"/>
        <c:crosses val="autoZero"/>
        <c:auto val="1"/>
        <c:lblOffset val="100"/>
        <c:baseTimeUnit val="months"/>
      </c:dateAx>
      <c:valAx>
        <c:axId val="14628275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 -2026'!$C$4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-2026'!$C$5:$C$16</c:f>
              <c:numCache>
                <c:formatCode>_ "₹"\ * #,##0.00_ ;_ "₹"\ * \-#,##0.00_ ;_ "₹"\ * "-"??_ ;_ @_ </c:formatCode>
                <c:ptCount val="12"/>
                <c:pt idx="0">
                  <c:v>983000</c:v>
                </c:pt>
                <c:pt idx="1">
                  <c:v>866000</c:v>
                </c:pt>
                <c:pt idx="2">
                  <c:v>768000</c:v>
                </c:pt>
                <c:pt idx="3">
                  <c:v>1050000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CE-44AF-A52F-80E8CE5AED9B}"/>
            </c:ext>
          </c:extLst>
        </c:ser>
        <c:ser>
          <c:idx val="1"/>
          <c:order val="1"/>
          <c:tx>
            <c:strRef>
              <c:f>'Yearly Summary -2026'!$D$4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-2026'!$D$5:$D$16</c:f>
              <c:numCache>
                <c:formatCode>"₹"\ #,##0.00;[Red]"₹"\ \-#,##0.00</c:formatCode>
                <c:ptCount val="12"/>
                <c:pt idx="0">
                  <c:v>667635</c:v>
                </c:pt>
                <c:pt idx="1">
                  <c:v>715262</c:v>
                </c:pt>
                <c:pt idx="2">
                  <c:v>869738</c:v>
                </c:pt>
                <c:pt idx="3">
                  <c:v>863300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CE-44AF-A52F-80E8CE5AED9B}"/>
            </c:ext>
          </c:extLst>
        </c:ser>
        <c:ser>
          <c:idx val="2"/>
          <c:order val="2"/>
          <c:tx>
            <c:strRef>
              <c:f>'Yearly Summary -2026'!$E$4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-2026'!$E$5:$E$16</c:f>
              <c:numCache>
                <c:formatCode>0%</c:formatCode>
                <c:ptCount val="12"/>
                <c:pt idx="0">
                  <c:v>0.67918107833163788</c:v>
                </c:pt>
                <c:pt idx="1">
                  <c:v>0.82593764434180139</c:v>
                </c:pt>
                <c:pt idx="2">
                  <c:v>1.1324713541666667</c:v>
                </c:pt>
                <c:pt idx="3">
                  <c:v>0.82219047619047614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7CE-44AF-A52F-80E8CE5AED9B}"/>
            </c:ext>
          </c:extLst>
        </c:ser>
        <c:gapWidth val="219"/>
        <c:axId val="146493440"/>
        <c:axId val="146494976"/>
      </c:barChart>
      <c:dateAx>
        <c:axId val="146493440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94976"/>
        <c:crosses val="autoZero"/>
        <c:auto val="1"/>
        <c:lblOffset val="100"/>
        <c:baseTimeUnit val="months"/>
      </c:dateAx>
      <c:valAx>
        <c:axId val="1464949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 -2026'!$C$21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-2026'!$C$22:$C$33</c:f>
              <c:numCache>
                <c:formatCode>_ "₹"\ * #,##0.00_ ;_ "₹"\ * \-#,##0.00_ ;_ "₹"\ * "-"??_ ;_ @_ </c:formatCode>
                <c:ptCount val="12"/>
                <c:pt idx="0">
                  <c:v>1233388</c:v>
                </c:pt>
                <c:pt idx="1">
                  <c:v>1356831</c:v>
                </c:pt>
                <c:pt idx="2">
                  <c:v>1340137</c:v>
                </c:pt>
                <c:pt idx="3">
                  <c:v>1454853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2B-4F7F-B5FF-C8F837D435BE}"/>
            </c:ext>
          </c:extLst>
        </c:ser>
        <c:ser>
          <c:idx val="1"/>
          <c:order val="1"/>
          <c:tx>
            <c:strRef>
              <c:f>'Yearly Summary -2026'!$D$21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-2026'!$D$22:$D$33</c:f>
              <c:numCache>
                <c:formatCode>"₹"\ #,##0.00;[Red]"₹"\ \-#,##0.00</c:formatCode>
                <c:ptCount val="12"/>
                <c:pt idx="0">
                  <c:v>408960</c:v>
                </c:pt>
                <c:pt idx="1">
                  <c:v>674510</c:v>
                </c:pt>
                <c:pt idx="2">
                  <c:v>816404</c:v>
                </c:pt>
                <c:pt idx="3">
                  <c:v>681012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2B-4F7F-B5FF-C8F837D435BE}"/>
            </c:ext>
          </c:extLst>
        </c:ser>
        <c:ser>
          <c:idx val="2"/>
          <c:order val="2"/>
          <c:tx>
            <c:strRef>
              <c:f>'Yearly Summary -2026'!$E$21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-2026'!$E$22:$E$33</c:f>
              <c:numCache>
                <c:formatCode>0%</c:formatCode>
                <c:ptCount val="12"/>
                <c:pt idx="0">
                  <c:v>0.33157449237385156</c:v>
                </c:pt>
                <c:pt idx="1">
                  <c:v>0.49712160173227177</c:v>
                </c:pt>
                <c:pt idx="2">
                  <c:v>0.60919443310646593</c:v>
                </c:pt>
                <c:pt idx="3">
                  <c:v>0.46809677678775796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E2B-4F7F-B5FF-C8F837D435BE}"/>
            </c:ext>
          </c:extLst>
        </c:ser>
        <c:gapWidth val="219"/>
        <c:overlap val="-27"/>
        <c:axId val="146532992"/>
        <c:axId val="138498432"/>
      </c:barChart>
      <c:dateAx>
        <c:axId val="146532992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98432"/>
        <c:crosses val="autoZero"/>
        <c:auto val="1"/>
        <c:lblOffset val="100"/>
        <c:baseTimeUnit val="months"/>
      </c:dateAx>
      <c:valAx>
        <c:axId val="13849843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 -2026'!$C$4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-2026'!$C$5:$C$16</c:f>
              <c:numCache>
                <c:formatCode>_ "₹"\ * #,##0.00_ ;_ "₹"\ * \-#,##0.00_ ;_ "₹"\ * "-"??_ ;_ @_ </c:formatCode>
                <c:ptCount val="12"/>
                <c:pt idx="0">
                  <c:v>983000</c:v>
                </c:pt>
                <c:pt idx="1">
                  <c:v>866000</c:v>
                </c:pt>
                <c:pt idx="2">
                  <c:v>768000</c:v>
                </c:pt>
                <c:pt idx="3">
                  <c:v>1050000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CE-44AF-A52F-80E8CE5AED9B}"/>
            </c:ext>
          </c:extLst>
        </c:ser>
        <c:ser>
          <c:idx val="1"/>
          <c:order val="1"/>
          <c:tx>
            <c:strRef>
              <c:f>'Yearly Summary -2026'!$D$4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-2026'!$D$5:$D$16</c:f>
              <c:numCache>
                <c:formatCode>"₹"\ #,##0.00;[Red]"₹"\ \-#,##0.00</c:formatCode>
                <c:ptCount val="12"/>
                <c:pt idx="0">
                  <c:v>667635</c:v>
                </c:pt>
                <c:pt idx="1">
                  <c:v>715262</c:v>
                </c:pt>
                <c:pt idx="2">
                  <c:v>869738</c:v>
                </c:pt>
                <c:pt idx="3">
                  <c:v>863300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CE-44AF-A52F-80E8CE5AED9B}"/>
            </c:ext>
          </c:extLst>
        </c:ser>
        <c:ser>
          <c:idx val="2"/>
          <c:order val="2"/>
          <c:tx>
            <c:strRef>
              <c:f>'Yearly Summary -2026'!$E$4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-2026'!$E$5:$E$16</c:f>
              <c:numCache>
                <c:formatCode>0%</c:formatCode>
                <c:ptCount val="12"/>
                <c:pt idx="0">
                  <c:v>0.67918107833163788</c:v>
                </c:pt>
                <c:pt idx="1">
                  <c:v>0.82593764434180139</c:v>
                </c:pt>
                <c:pt idx="2">
                  <c:v>1.1324713541666667</c:v>
                </c:pt>
                <c:pt idx="3">
                  <c:v>0.82219047619047614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7CE-44AF-A52F-80E8CE5AED9B}"/>
            </c:ext>
          </c:extLst>
        </c:ser>
        <c:gapWidth val="219"/>
        <c:axId val="146577664"/>
        <c:axId val="146583552"/>
      </c:barChart>
      <c:dateAx>
        <c:axId val="146577664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3552"/>
        <c:crosses val="autoZero"/>
        <c:auto val="1"/>
        <c:lblOffset val="100"/>
        <c:baseTimeUnit val="months"/>
      </c:dateAx>
      <c:valAx>
        <c:axId val="14658355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7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 -2026'!$C$21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-2026'!$C$22:$C$33</c:f>
              <c:numCache>
                <c:formatCode>_ "₹"\ * #,##0.00_ ;_ "₹"\ * \-#,##0.00_ ;_ "₹"\ * "-"??_ ;_ @_ </c:formatCode>
                <c:ptCount val="12"/>
                <c:pt idx="0">
                  <c:v>1233388</c:v>
                </c:pt>
                <c:pt idx="1">
                  <c:v>1356831</c:v>
                </c:pt>
                <c:pt idx="2">
                  <c:v>1340137</c:v>
                </c:pt>
                <c:pt idx="3">
                  <c:v>1454853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2B-4F7F-B5FF-C8F837D435BE}"/>
            </c:ext>
          </c:extLst>
        </c:ser>
        <c:ser>
          <c:idx val="1"/>
          <c:order val="1"/>
          <c:tx>
            <c:strRef>
              <c:f>'Yearly Summary -2026'!$D$21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-2026'!$D$22:$D$33</c:f>
              <c:numCache>
                <c:formatCode>"₹"\ #,##0.00;[Red]"₹"\ \-#,##0.00</c:formatCode>
                <c:ptCount val="12"/>
                <c:pt idx="0">
                  <c:v>408960</c:v>
                </c:pt>
                <c:pt idx="1">
                  <c:v>674510</c:v>
                </c:pt>
                <c:pt idx="2">
                  <c:v>816404</c:v>
                </c:pt>
                <c:pt idx="3">
                  <c:v>681012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2B-4F7F-B5FF-C8F837D435BE}"/>
            </c:ext>
          </c:extLst>
        </c:ser>
        <c:ser>
          <c:idx val="2"/>
          <c:order val="2"/>
          <c:tx>
            <c:strRef>
              <c:f>'Yearly Summary -2026'!$E$21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-2026'!$E$22:$E$33</c:f>
              <c:numCache>
                <c:formatCode>0%</c:formatCode>
                <c:ptCount val="12"/>
                <c:pt idx="0">
                  <c:v>0.33157449237385156</c:v>
                </c:pt>
                <c:pt idx="1">
                  <c:v>0.49712160173227177</c:v>
                </c:pt>
                <c:pt idx="2">
                  <c:v>0.60919443310646593</c:v>
                </c:pt>
                <c:pt idx="3">
                  <c:v>0.46809677678775796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E2B-4F7F-B5FF-C8F837D435BE}"/>
            </c:ext>
          </c:extLst>
        </c:ser>
        <c:gapWidth val="219"/>
        <c:overlap val="-27"/>
        <c:axId val="146760832"/>
        <c:axId val="146762368"/>
      </c:barChart>
      <c:dateAx>
        <c:axId val="146760832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2368"/>
        <c:crosses val="autoZero"/>
        <c:auto val="1"/>
        <c:lblOffset val="100"/>
        <c:baseTimeUnit val="months"/>
      </c:dateAx>
      <c:valAx>
        <c:axId val="14676236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Sales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 -2026'!$C$4</c:f>
              <c:strCache>
                <c:ptCount val="1"/>
                <c:pt idx="0">
                  <c:v>Sales Target(₹)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-2026'!$C$5:$C$16</c:f>
              <c:numCache>
                <c:formatCode>_ "₹"\ * #,##0.00_ ;_ "₹"\ * \-#,##0.00_ ;_ "₹"\ * "-"??_ ;_ @_ </c:formatCode>
                <c:ptCount val="12"/>
                <c:pt idx="0">
                  <c:v>983000</c:v>
                </c:pt>
                <c:pt idx="1">
                  <c:v>866000</c:v>
                </c:pt>
                <c:pt idx="2">
                  <c:v>768000</c:v>
                </c:pt>
                <c:pt idx="3">
                  <c:v>1050000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CE-44AF-A52F-80E8CE5AED9B}"/>
            </c:ext>
          </c:extLst>
        </c:ser>
        <c:ser>
          <c:idx val="1"/>
          <c:order val="1"/>
          <c:tx>
            <c:strRef>
              <c:f>'Yearly Summary -2026'!$D$4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-2026'!$D$5:$D$16</c:f>
              <c:numCache>
                <c:formatCode>"₹"\ #,##0.00;[Red]"₹"\ \-#,##0.00</c:formatCode>
                <c:ptCount val="12"/>
                <c:pt idx="0">
                  <c:v>667635</c:v>
                </c:pt>
                <c:pt idx="1">
                  <c:v>715262</c:v>
                </c:pt>
                <c:pt idx="2">
                  <c:v>869738</c:v>
                </c:pt>
                <c:pt idx="3">
                  <c:v>863300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CE-44AF-A52F-80E8CE5AED9B}"/>
            </c:ext>
          </c:extLst>
        </c:ser>
        <c:ser>
          <c:idx val="2"/>
          <c:order val="2"/>
          <c:tx>
            <c:strRef>
              <c:f>'Yearly Summary -2026'!$E$4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 -2026'!$B$5:$B$16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-2026'!$E$5:$E$16</c:f>
              <c:numCache>
                <c:formatCode>0%</c:formatCode>
                <c:ptCount val="12"/>
                <c:pt idx="0">
                  <c:v>0.67918107833163788</c:v>
                </c:pt>
                <c:pt idx="1">
                  <c:v>0.82593764434180139</c:v>
                </c:pt>
                <c:pt idx="2">
                  <c:v>1.1324713541666667</c:v>
                </c:pt>
                <c:pt idx="3">
                  <c:v>0.82219047619047614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7CE-44AF-A52F-80E8CE5AED9B}"/>
            </c:ext>
          </c:extLst>
        </c:ser>
        <c:gapWidth val="219"/>
        <c:axId val="146825984"/>
        <c:axId val="146827520"/>
      </c:barChart>
      <c:dateAx>
        <c:axId val="146825984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27520"/>
        <c:crosses val="autoZero"/>
        <c:auto val="1"/>
        <c:lblOffset val="100"/>
        <c:baseTimeUnit val="months"/>
      </c:dateAx>
      <c:valAx>
        <c:axId val="14682752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2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33" l="0.70000000000000062" r="0.70000000000000062" t="0.75000000000000833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u="sng">
                <a:solidFill>
                  <a:srgbClr val="002060"/>
                </a:solidFill>
              </a:rPr>
              <a:t>Collection Trend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'Yearly Summary -2026'!$C$21</c:f>
              <c:strCache>
                <c:ptCount val="1"/>
                <c:pt idx="0">
                  <c:v>Coll. Target(₹)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-2026'!$C$22:$C$33</c:f>
              <c:numCache>
                <c:formatCode>_ "₹"\ * #,##0.00_ ;_ "₹"\ * \-#,##0.00_ ;_ "₹"\ * "-"??_ ;_ @_ </c:formatCode>
                <c:ptCount val="12"/>
                <c:pt idx="0">
                  <c:v>1233388</c:v>
                </c:pt>
                <c:pt idx="1">
                  <c:v>1356831</c:v>
                </c:pt>
                <c:pt idx="2">
                  <c:v>1340137</c:v>
                </c:pt>
                <c:pt idx="3">
                  <c:v>1454853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2B-4F7F-B5FF-C8F837D435BE}"/>
            </c:ext>
          </c:extLst>
        </c:ser>
        <c:ser>
          <c:idx val="1"/>
          <c:order val="1"/>
          <c:tx>
            <c:strRef>
              <c:f>'Yearly Summary -2026'!$D$21</c:f>
              <c:strCache>
                <c:ptCount val="1"/>
                <c:pt idx="0">
                  <c:v>Achieved(₹)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-2026'!$D$22:$D$33</c:f>
              <c:numCache>
                <c:formatCode>"₹"\ #,##0.00;[Red]"₹"\ \-#,##0.00</c:formatCode>
                <c:ptCount val="12"/>
                <c:pt idx="0">
                  <c:v>408960</c:v>
                </c:pt>
                <c:pt idx="1">
                  <c:v>674510</c:v>
                </c:pt>
                <c:pt idx="2">
                  <c:v>816404</c:v>
                </c:pt>
                <c:pt idx="3">
                  <c:v>681012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2B-4F7F-B5FF-C8F837D435BE}"/>
            </c:ext>
          </c:extLst>
        </c:ser>
        <c:ser>
          <c:idx val="2"/>
          <c:order val="2"/>
          <c:tx>
            <c:strRef>
              <c:f>'Yearly Summary -2026'!$E$21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'Yearly Summary -2026'!$B$22:$B$33</c:f>
              <c:numCache>
                <c:formatCode>mmm/yy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'Yearly Summary -2026'!$E$22:$E$33</c:f>
              <c:numCache>
                <c:formatCode>0%</c:formatCode>
                <c:ptCount val="12"/>
                <c:pt idx="0">
                  <c:v>0.33157449237385156</c:v>
                </c:pt>
                <c:pt idx="1">
                  <c:v>0.49712160173227177</c:v>
                </c:pt>
                <c:pt idx="2">
                  <c:v>0.60919443310646593</c:v>
                </c:pt>
                <c:pt idx="3">
                  <c:v>0.46809677678775796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E2B-4F7F-B5FF-C8F837D435BE}"/>
            </c:ext>
          </c:extLst>
        </c:ser>
        <c:gapWidth val="219"/>
        <c:overlap val="-27"/>
        <c:axId val="146678144"/>
        <c:axId val="146679680"/>
      </c:barChart>
      <c:dateAx>
        <c:axId val="146678144"/>
        <c:scaling>
          <c:orientation val="minMax"/>
        </c:scaling>
        <c:axPos val="b"/>
        <c:numFmt formatCode="mmm/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79680"/>
        <c:crosses val="autoZero"/>
        <c:auto val="1"/>
        <c:lblOffset val="100"/>
        <c:baseTimeUnit val="months"/>
      </c:dateAx>
      <c:valAx>
        <c:axId val="14667968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7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1</xdr:row>
      <xdr:rowOff>68837</xdr:rowOff>
    </xdr:from>
    <xdr:to>
      <xdr:col>7</xdr:col>
      <xdr:colOff>547397</xdr:colOff>
      <xdr:row>1</xdr:row>
      <xdr:rowOff>228601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356350" y="437137"/>
          <a:ext cx="433097" cy="15976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7</xdr:row>
      <xdr:rowOff>70557</xdr:rowOff>
    </xdr:from>
    <xdr:to>
      <xdr:col>3</xdr:col>
      <xdr:colOff>924278</xdr:colOff>
      <xdr:row>14</xdr:row>
      <xdr:rowOff>112890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45510</xdr:colOff>
      <xdr:row>8</xdr:row>
      <xdr:rowOff>7056</xdr:rowOff>
    </xdr:from>
    <xdr:to>
      <xdr:col>8</xdr:col>
      <xdr:colOff>0</xdr:colOff>
      <xdr:row>14</xdr:row>
      <xdr:rowOff>169334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1</xdr:row>
      <xdr:rowOff>68837</xdr:rowOff>
    </xdr:from>
    <xdr:to>
      <xdr:col>7</xdr:col>
      <xdr:colOff>547397</xdr:colOff>
      <xdr:row>1</xdr:row>
      <xdr:rowOff>228601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000750" y="202187"/>
          <a:ext cx="433097" cy="15976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7</xdr:row>
      <xdr:rowOff>70557</xdr:rowOff>
    </xdr:from>
    <xdr:to>
      <xdr:col>3</xdr:col>
      <xdr:colOff>924278</xdr:colOff>
      <xdr:row>14</xdr:row>
      <xdr:rowOff>112890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994835</xdr:colOff>
      <xdr:row>7</xdr:row>
      <xdr:rowOff>70555</xdr:rowOff>
    </xdr:from>
    <xdr:to>
      <xdr:col>7</xdr:col>
      <xdr:colOff>578557</xdr:colOff>
      <xdr:row>14</xdr:row>
      <xdr:rowOff>112889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1</xdr:row>
      <xdr:rowOff>68837</xdr:rowOff>
    </xdr:from>
    <xdr:to>
      <xdr:col>7</xdr:col>
      <xdr:colOff>547397</xdr:colOff>
      <xdr:row>1</xdr:row>
      <xdr:rowOff>228601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000750" y="202187"/>
          <a:ext cx="433097" cy="15976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7</xdr:row>
      <xdr:rowOff>70557</xdr:rowOff>
    </xdr:from>
    <xdr:to>
      <xdr:col>3</xdr:col>
      <xdr:colOff>924278</xdr:colOff>
      <xdr:row>14</xdr:row>
      <xdr:rowOff>112890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994835</xdr:colOff>
      <xdr:row>7</xdr:row>
      <xdr:rowOff>70555</xdr:rowOff>
    </xdr:from>
    <xdr:to>
      <xdr:col>7</xdr:col>
      <xdr:colOff>578557</xdr:colOff>
      <xdr:row>14</xdr:row>
      <xdr:rowOff>112889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1</xdr:row>
      <xdr:rowOff>68837</xdr:rowOff>
    </xdr:from>
    <xdr:to>
      <xdr:col>7</xdr:col>
      <xdr:colOff>547397</xdr:colOff>
      <xdr:row>1</xdr:row>
      <xdr:rowOff>190501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229350" y="202187"/>
          <a:ext cx="433097" cy="15976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7</xdr:row>
      <xdr:rowOff>38100</xdr:rowOff>
    </xdr:from>
    <xdr:to>
      <xdr:col>4</xdr:col>
      <xdr:colOff>57150</xdr:colOff>
      <xdr:row>14</xdr:row>
      <xdr:rowOff>209550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104775</xdr:colOff>
      <xdr:row>7</xdr:row>
      <xdr:rowOff>19051</xdr:rowOff>
    </xdr:from>
    <xdr:to>
      <xdr:col>7</xdr:col>
      <xdr:colOff>581025</xdr:colOff>
      <xdr:row>14</xdr:row>
      <xdr:rowOff>209550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1</xdr:row>
      <xdr:rowOff>68837</xdr:rowOff>
    </xdr:from>
    <xdr:to>
      <xdr:col>7</xdr:col>
      <xdr:colOff>547397</xdr:colOff>
      <xdr:row>1</xdr:row>
      <xdr:rowOff>190501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5991225" y="287912"/>
          <a:ext cx="433097" cy="12166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38098</xdr:colOff>
      <xdr:row>7</xdr:row>
      <xdr:rowOff>61029</xdr:rowOff>
    </xdr:from>
    <xdr:to>
      <xdr:col>4</xdr:col>
      <xdr:colOff>9525</xdr:colOff>
      <xdr:row>14</xdr:row>
      <xdr:rowOff>314324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66675</xdr:colOff>
      <xdr:row>7</xdr:row>
      <xdr:rowOff>66675</xdr:rowOff>
    </xdr:from>
    <xdr:to>
      <xdr:col>7</xdr:col>
      <xdr:colOff>600074</xdr:colOff>
      <xdr:row>14</xdr:row>
      <xdr:rowOff>304801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203861</xdr:colOff>
      <xdr:row>2</xdr:row>
      <xdr:rowOff>49786</xdr:rowOff>
    </xdr:from>
    <xdr:to>
      <xdr:col>7</xdr:col>
      <xdr:colOff>976023</xdr:colOff>
      <xdr:row>2</xdr:row>
      <xdr:rowOff>266699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014111" y="440311"/>
          <a:ext cx="772162" cy="21691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38099</xdr:colOff>
      <xdr:row>8</xdr:row>
      <xdr:rowOff>19050</xdr:rowOff>
    </xdr:from>
    <xdr:to>
      <xdr:col>4</xdr:col>
      <xdr:colOff>219075</xdr:colOff>
      <xdr:row>15</xdr:row>
      <xdr:rowOff>295275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285751</xdr:colOff>
      <xdr:row>8</xdr:row>
      <xdr:rowOff>1</xdr:rowOff>
    </xdr:from>
    <xdr:to>
      <xdr:col>7</xdr:col>
      <xdr:colOff>1257300</xdr:colOff>
      <xdr:row>15</xdr:row>
      <xdr:rowOff>314325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1</xdr:row>
      <xdr:rowOff>11687</xdr:rowOff>
    </xdr:from>
    <xdr:to>
      <xdr:col>7</xdr:col>
      <xdr:colOff>633122</xdr:colOff>
      <xdr:row>1</xdr:row>
      <xdr:rowOff>233665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543674" y="211712"/>
          <a:ext cx="442623" cy="221978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171448</xdr:colOff>
      <xdr:row>7</xdr:row>
      <xdr:rowOff>19050</xdr:rowOff>
    </xdr:from>
    <xdr:to>
      <xdr:col>4</xdr:col>
      <xdr:colOff>228599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285751</xdr:colOff>
      <xdr:row>7</xdr:row>
      <xdr:rowOff>1</xdr:rowOff>
    </xdr:from>
    <xdr:to>
      <xdr:col>7</xdr:col>
      <xdr:colOff>1257300</xdr:colOff>
      <xdr:row>14</xdr:row>
      <xdr:rowOff>314325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1</xdr:row>
      <xdr:rowOff>11687</xdr:rowOff>
    </xdr:from>
    <xdr:to>
      <xdr:col>7</xdr:col>
      <xdr:colOff>633122</xdr:colOff>
      <xdr:row>1</xdr:row>
      <xdr:rowOff>233665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543674" y="211712"/>
          <a:ext cx="442623" cy="221978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171448</xdr:colOff>
      <xdr:row>7</xdr:row>
      <xdr:rowOff>19050</xdr:rowOff>
    </xdr:from>
    <xdr:to>
      <xdr:col>4</xdr:col>
      <xdr:colOff>228599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285751</xdr:colOff>
      <xdr:row>7</xdr:row>
      <xdr:rowOff>1</xdr:rowOff>
    </xdr:from>
    <xdr:to>
      <xdr:col>7</xdr:col>
      <xdr:colOff>1257300</xdr:colOff>
      <xdr:row>14</xdr:row>
      <xdr:rowOff>314325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190499</xdr:colOff>
      <xdr:row>0</xdr:row>
      <xdr:rowOff>11687</xdr:rowOff>
    </xdr:from>
    <xdr:to>
      <xdr:col>6</xdr:col>
      <xdr:colOff>614072</xdr:colOff>
      <xdr:row>0</xdr:row>
      <xdr:rowOff>186040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543674" y="211712"/>
          <a:ext cx="442623" cy="221978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19050</xdr:rowOff>
    </xdr:from>
    <xdr:to>
      <xdr:col>3</xdr:col>
      <xdr:colOff>228599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285751</xdr:colOff>
      <xdr:row>6</xdr:row>
      <xdr:rowOff>1</xdr:rowOff>
    </xdr:from>
    <xdr:to>
      <xdr:col>6</xdr:col>
      <xdr:colOff>1257300</xdr:colOff>
      <xdr:row>13</xdr:row>
      <xdr:rowOff>314325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1</xdr:row>
      <xdr:rowOff>11687</xdr:rowOff>
    </xdr:from>
    <xdr:to>
      <xdr:col>7</xdr:col>
      <xdr:colOff>614072</xdr:colOff>
      <xdr:row>1</xdr:row>
      <xdr:rowOff>186040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438899" y="11687"/>
          <a:ext cx="423573" cy="17435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19050</xdr:rowOff>
    </xdr:from>
    <xdr:to>
      <xdr:col>4</xdr:col>
      <xdr:colOff>228599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285751</xdr:colOff>
      <xdr:row>7</xdr:row>
      <xdr:rowOff>1</xdr:rowOff>
    </xdr:from>
    <xdr:to>
      <xdr:col>8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1</xdr:row>
      <xdr:rowOff>11687</xdr:rowOff>
    </xdr:from>
    <xdr:to>
      <xdr:col>7</xdr:col>
      <xdr:colOff>614072</xdr:colOff>
      <xdr:row>1</xdr:row>
      <xdr:rowOff>186040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7048499" y="154562"/>
          <a:ext cx="423573" cy="17435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7</xdr:row>
      <xdr:rowOff>19050</xdr:rowOff>
    </xdr:from>
    <xdr:to>
      <xdr:col>4</xdr:col>
      <xdr:colOff>228599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285751</xdr:colOff>
      <xdr:row>7</xdr:row>
      <xdr:rowOff>1</xdr:rowOff>
    </xdr:from>
    <xdr:to>
      <xdr:col>7</xdr:col>
      <xdr:colOff>1257300</xdr:colOff>
      <xdr:row>14</xdr:row>
      <xdr:rowOff>314325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1</xdr:row>
      <xdr:rowOff>11687</xdr:rowOff>
    </xdr:from>
    <xdr:to>
      <xdr:col>7</xdr:col>
      <xdr:colOff>614072</xdr:colOff>
      <xdr:row>1</xdr:row>
      <xdr:rowOff>186040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905624" y="211712"/>
          <a:ext cx="423573" cy="17435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7</xdr:row>
      <xdr:rowOff>19050</xdr:rowOff>
    </xdr:from>
    <xdr:to>
      <xdr:col>4</xdr:col>
      <xdr:colOff>228599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D78E742-2071-4156-BA62-BD0FD322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285751</xdr:colOff>
      <xdr:row>7</xdr:row>
      <xdr:rowOff>1</xdr:rowOff>
    </xdr:from>
    <xdr:to>
      <xdr:col>7</xdr:col>
      <xdr:colOff>1257300</xdr:colOff>
      <xdr:row>14</xdr:row>
      <xdr:rowOff>314325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CD9DCB9A-FF05-4F60-982F-9571E96E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2</xdr:row>
      <xdr:rowOff>174625</xdr:rowOff>
    </xdr:from>
    <xdr:to>
      <xdr:col>11</xdr:col>
      <xdr:colOff>596900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862E9FEC-958A-C317-7842-2ED21E2B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19</xdr:row>
      <xdr:rowOff>180975</xdr:rowOff>
    </xdr:from>
    <xdr:to>
      <xdr:col>12</xdr:col>
      <xdr:colOff>19050</xdr:colOff>
      <xdr:row>32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718BFB53-D8B4-65A5-BD47-39D3191AB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1</xdr:row>
      <xdr:rowOff>11687</xdr:rowOff>
    </xdr:from>
    <xdr:to>
      <xdr:col>7</xdr:col>
      <xdr:colOff>614072</xdr:colOff>
      <xdr:row>1</xdr:row>
      <xdr:rowOff>186040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6905624" y="211712"/>
          <a:ext cx="423573" cy="17435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609600</xdr:colOff>
      <xdr:row>7</xdr:row>
      <xdr:rowOff>9525</xdr:rowOff>
    </xdr:from>
    <xdr:to>
      <xdr:col>7</xdr:col>
      <xdr:colOff>1085850</xdr:colOff>
      <xdr:row>15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718BFB53-D8B4-65A5-BD47-39D3191AB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</xdr:row>
      <xdr:rowOff>180975</xdr:rowOff>
    </xdr:from>
    <xdr:to>
      <xdr:col>4</xdr:col>
      <xdr:colOff>600075</xdr:colOff>
      <xdr:row>15</xdr:row>
      <xdr:rowOff>142876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862E9FEC-958A-C317-7842-2ED21E2B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1</xdr:row>
      <xdr:rowOff>11687</xdr:rowOff>
    </xdr:from>
    <xdr:to>
      <xdr:col>7</xdr:col>
      <xdr:colOff>614072</xdr:colOff>
      <xdr:row>1</xdr:row>
      <xdr:rowOff>186040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7096124" y="202187"/>
          <a:ext cx="423573" cy="17435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609600</xdr:colOff>
      <xdr:row>7</xdr:row>
      <xdr:rowOff>9525</xdr:rowOff>
    </xdr:from>
    <xdr:to>
      <xdr:col>7</xdr:col>
      <xdr:colOff>1085850</xdr:colOff>
      <xdr:row>15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718BFB53-D8B4-65A5-BD47-39D3191AB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</xdr:row>
      <xdr:rowOff>180975</xdr:rowOff>
    </xdr:from>
    <xdr:to>
      <xdr:col>4</xdr:col>
      <xdr:colOff>600075</xdr:colOff>
      <xdr:row>15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862E9FEC-958A-C317-7842-2ED21E2B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1</xdr:row>
      <xdr:rowOff>11687</xdr:rowOff>
    </xdr:from>
    <xdr:to>
      <xdr:col>7</xdr:col>
      <xdr:colOff>614072</xdr:colOff>
      <xdr:row>1</xdr:row>
      <xdr:rowOff>186040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7096124" y="202187"/>
          <a:ext cx="423573" cy="17435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4</xdr:col>
      <xdr:colOff>704850</xdr:colOff>
      <xdr:row>14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862E9FEC-958A-C317-7842-2ED21E2B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723900</xdr:colOff>
      <xdr:row>7</xdr:row>
      <xdr:rowOff>0</xdr:rowOff>
    </xdr:from>
    <xdr:to>
      <xdr:col>7</xdr:col>
      <xdr:colOff>1095374</xdr:colOff>
      <xdr:row>14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718BFB53-D8B4-65A5-BD47-39D3191AB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1</xdr:row>
      <xdr:rowOff>11687</xdr:rowOff>
    </xdr:from>
    <xdr:to>
      <xdr:col>7</xdr:col>
      <xdr:colOff>614072</xdr:colOff>
      <xdr:row>1</xdr:row>
      <xdr:rowOff>186040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9887A22-4B73-3274-A4F6-8F72F9B9A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-14" b="-14"/>
        <a:stretch/>
      </xdr:blipFill>
      <xdr:spPr bwMode="auto">
        <a:xfrm>
          <a:off x="7096124" y="202187"/>
          <a:ext cx="423573" cy="17435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4</xdr:col>
      <xdr:colOff>704850</xdr:colOff>
      <xdr:row>14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62E9FEC-958A-C317-7842-2ED21E2B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723900</xdr:colOff>
      <xdr:row>7</xdr:row>
      <xdr:rowOff>0</xdr:rowOff>
    </xdr:from>
    <xdr:to>
      <xdr:col>7</xdr:col>
      <xdr:colOff>1095374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718BFB53-D8B4-65A5-BD47-39D3191AB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</xdr:colOff>
      <xdr:row>2</xdr:row>
      <xdr:rowOff>136525</xdr:rowOff>
    </xdr:from>
    <xdr:to>
      <xdr:col>12</xdr:col>
      <xdr:colOff>34925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862E9FEC-958A-C317-7842-2ED21E2B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180976</xdr:rowOff>
    </xdr:from>
    <xdr:to>
      <xdr:col>11</xdr:col>
      <xdr:colOff>276225</xdr:colOff>
      <xdr:row>28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718BFB53-D8B4-65A5-BD47-39D3191AB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esktop\DATA\Filtec\Partywise%20monthly%20target%20(Autosaved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rget by Purna"/>
      <sheetName val="AUG - 25"/>
      <sheetName val="SEP-25"/>
      <sheetName val="OCT - 25"/>
      <sheetName val="TAGET-25"/>
      <sheetName val="NOV - 25"/>
      <sheetName val="DEC -2025"/>
      <sheetName val="Jan-26"/>
      <sheetName val="FEB - 26"/>
      <sheetName val="March -2026"/>
      <sheetName val="Apr -2026"/>
      <sheetName val="MAY -2026"/>
    </sheetNames>
    <sheetDataSet>
      <sheetData sheetId="0"/>
      <sheetData sheetId="1"/>
      <sheetData sheetId="2"/>
      <sheetData sheetId="3">
        <row r="75">
          <cell r="C75">
            <v>711000</v>
          </cell>
          <cell r="D75">
            <v>467760</v>
          </cell>
          <cell r="G75">
            <v>1002500</v>
          </cell>
          <cell r="H75">
            <v>525678</v>
          </cell>
        </row>
      </sheetData>
      <sheetData sheetId="4"/>
      <sheetData sheetId="5">
        <row r="70">
          <cell r="D70">
            <v>712000</v>
          </cell>
          <cell r="E70">
            <v>301511</v>
          </cell>
          <cell r="H70">
            <v>795449</v>
          </cell>
          <cell r="I70">
            <v>286383</v>
          </cell>
        </row>
        <row r="105">
          <cell r="D105">
            <v>189000</v>
          </cell>
          <cell r="E105">
            <v>95857</v>
          </cell>
          <cell r="H105">
            <v>95000</v>
          </cell>
          <cell r="I105">
            <v>72005</v>
          </cell>
        </row>
        <row r="127">
          <cell r="D127">
            <v>65000</v>
          </cell>
          <cell r="E127">
            <v>9414</v>
          </cell>
          <cell r="H127">
            <v>63000</v>
          </cell>
          <cell r="I127">
            <v>4000</v>
          </cell>
        </row>
        <row r="147">
          <cell r="D147">
            <v>50000</v>
          </cell>
          <cell r="E147">
            <v>6565</v>
          </cell>
          <cell r="H147">
            <v>37000</v>
          </cell>
          <cell r="I147">
            <v>0</v>
          </cell>
        </row>
        <row r="165">
          <cell r="D165">
            <v>0</v>
          </cell>
          <cell r="E165">
            <v>62004</v>
          </cell>
          <cell r="H165">
            <v>0</v>
          </cell>
          <cell r="I165">
            <v>16637</v>
          </cell>
        </row>
      </sheetData>
      <sheetData sheetId="6">
        <row r="72">
          <cell r="D72">
            <v>456000</v>
          </cell>
          <cell r="E72">
            <v>315619</v>
          </cell>
          <cell r="H72">
            <v>723000</v>
          </cell>
          <cell r="I72">
            <v>254952</v>
          </cell>
        </row>
        <row r="92">
          <cell r="D92">
            <v>50000</v>
          </cell>
          <cell r="E92">
            <v>8427</v>
          </cell>
          <cell r="H92">
            <v>49000</v>
          </cell>
          <cell r="I92">
            <v>0</v>
          </cell>
        </row>
        <row r="112">
          <cell r="D112">
            <v>65000</v>
          </cell>
          <cell r="E112">
            <v>0</v>
          </cell>
          <cell r="H112">
            <v>63000</v>
          </cell>
          <cell r="I112">
            <v>0</v>
          </cell>
        </row>
        <row r="145">
          <cell r="D145">
            <v>169000</v>
          </cell>
          <cell r="E145">
            <v>78048</v>
          </cell>
          <cell r="H145">
            <v>146000</v>
          </cell>
          <cell r="I145">
            <v>69692</v>
          </cell>
        </row>
        <row r="166">
          <cell r="D166">
            <v>120000</v>
          </cell>
          <cell r="E166">
            <v>14916</v>
          </cell>
          <cell r="H166">
            <v>105000</v>
          </cell>
          <cell r="I166">
            <v>51337</v>
          </cell>
        </row>
      </sheetData>
      <sheetData sheetId="7">
        <row r="72">
          <cell r="D72">
            <v>687000</v>
          </cell>
          <cell r="E72">
            <v>296829</v>
          </cell>
          <cell r="H72">
            <v>804816</v>
          </cell>
          <cell r="I72">
            <v>281396</v>
          </cell>
        </row>
        <row r="86">
          <cell r="D86">
            <v>2000</v>
          </cell>
          <cell r="E86">
            <v>0</v>
          </cell>
          <cell r="H86">
            <v>33336</v>
          </cell>
          <cell r="I86">
            <v>1500</v>
          </cell>
        </row>
        <row r="102">
          <cell r="D102">
            <v>17000</v>
          </cell>
          <cell r="E102">
            <v>3906</v>
          </cell>
          <cell r="H102">
            <v>35083</v>
          </cell>
          <cell r="I102">
            <v>3906</v>
          </cell>
        </row>
        <row r="132">
          <cell r="D132">
            <v>166000</v>
          </cell>
          <cell r="E132">
            <v>341040</v>
          </cell>
          <cell r="H132">
            <v>257253</v>
          </cell>
          <cell r="I132">
            <v>97876</v>
          </cell>
        </row>
        <row r="153">
          <cell r="D153">
            <v>111000</v>
          </cell>
          <cell r="E153">
            <v>25860</v>
          </cell>
          <cell r="H153">
            <v>102900</v>
          </cell>
          <cell r="I153">
            <v>24282</v>
          </cell>
        </row>
      </sheetData>
      <sheetData sheetId="8">
        <row r="73">
          <cell r="D73">
            <v>494000</v>
          </cell>
          <cell r="E73">
            <v>385671</v>
          </cell>
          <cell r="H73">
            <v>723217</v>
          </cell>
          <cell r="I73">
            <v>323040</v>
          </cell>
        </row>
        <row r="87">
          <cell r="D87">
            <v>0</v>
          </cell>
          <cell r="E87">
            <v>0</v>
          </cell>
          <cell r="H87">
            <v>33703</v>
          </cell>
          <cell r="I87">
            <v>4000</v>
          </cell>
        </row>
        <row r="102">
          <cell r="D102">
            <v>10000</v>
          </cell>
          <cell r="E102">
            <v>0</v>
          </cell>
          <cell r="H102">
            <v>33083</v>
          </cell>
          <cell r="I102">
            <v>0</v>
          </cell>
        </row>
        <row r="129">
          <cell r="D129">
            <v>217000</v>
          </cell>
          <cell r="E129">
            <v>266132</v>
          </cell>
          <cell r="H129">
            <v>458828</v>
          </cell>
          <cell r="I129">
            <v>297697</v>
          </cell>
        </row>
        <row r="151">
          <cell r="D151">
            <v>145000</v>
          </cell>
          <cell r="E151">
            <v>63459</v>
          </cell>
          <cell r="H151">
            <v>108000</v>
          </cell>
          <cell r="I151">
            <v>49773</v>
          </cell>
        </row>
      </sheetData>
      <sheetData sheetId="9">
        <row r="70">
          <cell r="D70">
            <v>394000</v>
          </cell>
          <cell r="E70">
            <v>327556</v>
          </cell>
          <cell r="H70">
            <v>772523</v>
          </cell>
          <cell r="I70">
            <v>394923</v>
          </cell>
        </row>
        <row r="84">
          <cell r="D84">
            <v>0</v>
          </cell>
          <cell r="E84">
            <v>0</v>
          </cell>
          <cell r="H84">
            <v>27767</v>
          </cell>
          <cell r="I84">
            <v>3000</v>
          </cell>
        </row>
        <row r="99">
          <cell r="D99">
            <v>8000</v>
          </cell>
          <cell r="E99">
            <v>5726</v>
          </cell>
          <cell r="H99">
            <v>23519</v>
          </cell>
          <cell r="I99">
            <v>5726</v>
          </cell>
        </row>
        <row r="126">
          <cell r="D126">
            <v>201000</v>
          </cell>
          <cell r="E126">
            <v>301751</v>
          </cell>
          <cell r="H126">
            <v>373328</v>
          </cell>
          <cell r="I126">
            <v>264320</v>
          </cell>
        </row>
        <row r="144">
          <cell r="D144">
            <v>165000</v>
          </cell>
          <cell r="E144">
            <v>234705</v>
          </cell>
          <cell r="H144">
            <v>143000</v>
          </cell>
          <cell r="I144">
            <v>148435</v>
          </cell>
        </row>
      </sheetData>
      <sheetData sheetId="10">
        <row r="76">
          <cell r="D76">
            <v>525000</v>
          </cell>
          <cell r="E76">
            <v>741667</v>
          </cell>
          <cell r="H76">
            <v>764235</v>
          </cell>
          <cell r="I76">
            <v>435825</v>
          </cell>
        </row>
        <row r="103">
          <cell r="D103">
            <v>234000</v>
          </cell>
          <cell r="E103">
            <v>13995</v>
          </cell>
          <cell r="H103">
            <v>406800</v>
          </cell>
          <cell r="I103">
            <v>130500</v>
          </cell>
        </row>
        <row r="117">
          <cell r="D117">
            <v>0</v>
          </cell>
          <cell r="E117">
            <v>0</v>
          </cell>
          <cell r="H117">
            <v>23273</v>
          </cell>
          <cell r="I117">
            <v>2800</v>
          </cell>
        </row>
        <row r="132">
          <cell r="D132">
            <v>10000</v>
          </cell>
          <cell r="E132">
            <v>0</v>
          </cell>
          <cell r="H132">
            <v>24545</v>
          </cell>
          <cell r="I132">
            <v>0</v>
          </cell>
        </row>
        <row r="153">
          <cell r="D153">
            <v>281000</v>
          </cell>
          <cell r="E153">
            <v>107638</v>
          </cell>
          <cell r="H153">
            <v>236000</v>
          </cell>
          <cell r="I153">
            <v>111887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22"/>
  <sheetViews>
    <sheetView showGridLines="0" zoomScale="90" zoomScaleNormal="90" workbookViewId="0">
      <selection activeCell="M10" sqref="M10"/>
    </sheetView>
  </sheetViews>
  <sheetFormatPr defaultColWidth="8.7109375" defaultRowHeight="15"/>
  <cols>
    <col min="1" max="1" width="1.85546875" style="1" customWidth="1"/>
    <col min="2" max="2" width="21.140625" style="1" customWidth="1"/>
    <col min="3" max="4" width="14.42578125" style="1" customWidth="1"/>
    <col min="5" max="5" width="8.7109375" style="1"/>
    <col min="6" max="7" width="13.85546875" style="1" customWidth="1"/>
    <col min="8" max="8" width="14.42578125" style="1" customWidth="1"/>
    <col min="9" max="16384" width="8.7109375" style="1"/>
  </cols>
  <sheetData>
    <row r="1" spans="2:10" ht="10.5" customHeight="1" thickBot="1"/>
    <row r="2" spans="2:10" ht="24" customHeight="1" thickBot="1">
      <c r="B2" s="80" t="s">
        <v>11</v>
      </c>
      <c r="C2" s="81"/>
      <c r="D2" s="81"/>
      <c r="E2" s="82"/>
      <c r="F2" s="78" t="s">
        <v>18</v>
      </c>
      <c r="G2" s="79"/>
      <c r="H2" s="6"/>
    </row>
    <row r="3" spans="2:10" ht="6" customHeight="1" thickBot="1"/>
    <row r="4" spans="2:10" ht="16.5" customHeight="1">
      <c r="B4" s="90" t="s">
        <v>10</v>
      </c>
      <c r="C4" s="88" t="s">
        <v>1</v>
      </c>
      <c r="D4" s="88"/>
      <c r="E4" s="88"/>
      <c r="F4" s="88" t="s">
        <v>2</v>
      </c>
      <c r="G4" s="88"/>
      <c r="H4" s="89"/>
    </row>
    <row r="5" spans="2:10" ht="16.5" customHeight="1">
      <c r="B5" s="91"/>
      <c r="C5" s="7" t="s">
        <v>16</v>
      </c>
      <c r="D5" s="7" t="s">
        <v>17</v>
      </c>
      <c r="E5" s="7" t="s">
        <v>3</v>
      </c>
      <c r="F5" s="7" t="s">
        <v>16</v>
      </c>
      <c r="G5" s="7" t="s">
        <v>17</v>
      </c>
      <c r="H5" s="13" t="s">
        <v>3</v>
      </c>
    </row>
    <row r="6" spans="2:10" ht="26.45" customHeight="1">
      <c r="B6" s="14" t="s">
        <v>4</v>
      </c>
      <c r="C6" s="21">
        <v>620000</v>
      </c>
      <c r="D6" s="22">
        <v>321973</v>
      </c>
      <c r="E6" s="16">
        <f>D6/C6</f>
        <v>0.51931129032258061</v>
      </c>
      <c r="F6" s="21">
        <v>620000</v>
      </c>
      <c r="G6" s="22">
        <v>321973</v>
      </c>
      <c r="H6" s="17">
        <f>D6/C6</f>
        <v>0.51931129032258061</v>
      </c>
    </row>
    <row r="7" spans="2:10" ht="26.45" customHeight="1" thickBot="1">
      <c r="B7" s="15" t="s">
        <v>5</v>
      </c>
      <c r="C7" s="21">
        <v>220000</v>
      </c>
      <c r="D7" s="22">
        <v>111100</v>
      </c>
      <c r="E7" s="16">
        <f>D7/C7</f>
        <v>0.505</v>
      </c>
      <c r="F7" s="21">
        <v>220000</v>
      </c>
      <c r="G7" s="22">
        <v>111100</v>
      </c>
      <c r="H7" s="17">
        <f>G7/F7</f>
        <v>0.505</v>
      </c>
    </row>
    <row r="8" spans="2:10" ht="6" customHeight="1">
      <c r="C8" s="2"/>
      <c r="D8" s="2"/>
      <c r="E8" s="2"/>
      <c r="F8" s="2"/>
      <c r="G8" s="2"/>
      <c r="H8" s="2"/>
    </row>
    <row r="9" spans="2:10" ht="22.5" customHeight="1">
      <c r="C9" s="2"/>
      <c r="D9" s="2"/>
      <c r="E9" s="2"/>
      <c r="F9" s="2"/>
      <c r="G9" s="2"/>
      <c r="H9" s="2"/>
    </row>
    <row r="10" spans="2:10" ht="22.5" customHeight="1">
      <c r="C10" s="2"/>
      <c r="D10" s="2"/>
      <c r="E10" s="2"/>
      <c r="F10" s="2"/>
      <c r="G10" s="2"/>
      <c r="H10" s="2"/>
      <c r="J10"/>
    </row>
    <row r="11" spans="2:10" ht="22.5" customHeight="1">
      <c r="C11" s="2"/>
      <c r="D11" s="2"/>
      <c r="E11" s="2"/>
      <c r="F11" s="2"/>
      <c r="G11" s="2"/>
      <c r="H11" s="2"/>
    </row>
    <row r="12" spans="2:10" ht="22.5" customHeight="1">
      <c r="C12" s="2"/>
      <c r="D12" s="2"/>
      <c r="E12" s="2"/>
      <c r="F12" s="2"/>
      <c r="G12" s="2"/>
      <c r="H12" s="2"/>
    </row>
    <row r="13" spans="2:10" ht="22.5" customHeight="1">
      <c r="C13" s="2"/>
      <c r="D13" s="2"/>
      <c r="E13" s="2"/>
      <c r="F13" s="2"/>
      <c r="G13" s="2"/>
      <c r="H13" s="2"/>
    </row>
    <row r="14" spans="2:10" ht="22.5" customHeight="1">
      <c r="C14" s="2"/>
      <c r="D14" s="2"/>
      <c r="E14" s="2"/>
      <c r="F14" s="2"/>
      <c r="G14" s="2"/>
      <c r="H14" s="2"/>
    </row>
    <row r="15" spans="2:10" ht="15.75" thickBot="1"/>
    <row r="16" spans="2:10" ht="21.6" customHeight="1">
      <c r="B16" s="8" t="s">
        <v>9</v>
      </c>
      <c r="C16" s="9"/>
      <c r="D16" s="9"/>
      <c r="E16" s="9"/>
      <c r="F16" s="9"/>
      <c r="G16" s="9"/>
      <c r="H16" s="10"/>
    </row>
    <row r="17" spans="2:8">
      <c r="B17" s="23" t="s">
        <v>21</v>
      </c>
      <c r="C17" s="86" t="s">
        <v>19</v>
      </c>
      <c r="D17" s="86"/>
      <c r="E17" s="86" t="s">
        <v>7</v>
      </c>
      <c r="F17" s="86"/>
      <c r="G17" s="86" t="s">
        <v>8</v>
      </c>
      <c r="H17" s="87"/>
    </row>
    <row r="18" spans="2:8" ht="24" customHeight="1" thickBot="1">
      <c r="B18" s="12">
        <v>28</v>
      </c>
      <c r="C18" s="83">
        <v>11</v>
      </c>
      <c r="D18" s="84"/>
      <c r="E18" s="83">
        <f>B18+C18</f>
        <v>39</v>
      </c>
      <c r="F18" s="84"/>
      <c r="G18" s="83">
        <v>3</v>
      </c>
      <c r="H18" s="85"/>
    </row>
    <row r="19" spans="2:8" ht="15.75" thickBot="1"/>
    <row r="20" spans="2:8">
      <c r="B20" s="69" t="s">
        <v>20</v>
      </c>
      <c r="C20" s="70"/>
      <c r="D20" s="70"/>
      <c r="E20" s="70"/>
      <c r="F20" s="70"/>
      <c r="G20" s="70"/>
      <c r="H20" s="71"/>
    </row>
    <row r="21" spans="2:8">
      <c r="B21" s="72" t="s">
        <v>22</v>
      </c>
      <c r="C21" s="73"/>
      <c r="D21" s="73"/>
      <c r="E21" s="73"/>
      <c r="F21" s="73"/>
      <c r="G21" s="73"/>
      <c r="H21" s="74"/>
    </row>
    <row r="22" spans="2:8" ht="15.75" thickBot="1">
      <c r="B22" s="75" t="s">
        <v>23</v>
      </c>
      <c r="C22" s="76"/>
      <c r="D22" s="76"/>
      <c r="E22" s="76"/>
      <c r="F22" s="76"/>
      <c r="G22" s="76"/>
      <c r="H22" s="77"/>
    </row>
  </sheetData>
  <mergeCells count="14">
    <mergeCell ref="B20:H20"/>
    <mergeCell ref="B21:H21"/>
    <mergeCell ref="B22:H22"/>
    <mergeCell ref="F2:G2"/>
    <mergeCell ref="B2:E2"/>
    <mergeCell ref="C18:D18"/>
    <mergeCell ref="E18:F18"/>
    <mergeCell ref="G18:H18"/>
    <mergeCell ref="C17:D17"/>
    <mergeCell ref="E17:F17"/>
    <mergeCell ref="G17:H17"/>
    <mergeCell ref="C4:E4"/>
    <mergeCell ref="F4:H4"/>
    <mergeCell ref="B4:B5"/>
  </mergeCells>
  <printOptions horizontalCentered="1"/>
  <pageMargins left="3.937007874015748E-2" right="3.937007874015748E-2" top="0.74803149606299213" bottom="0.7480314960629921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J23"/>
  <sheetViews>
    <sheetView showGridLines="0" zoomScale="90" zoomScaleNormal="90" workbookViewId="0">
      <selection activeCell="C24" sqref="C24"/>
    </sheetView>
  </sheetViews>
  <sheetFormatPr defaultColWidth="8.7109375" defaultRowHeight="15"/>
  <cols>
    <col min="1" max="1" width="1.85546875" style="1" customWidth="1"/>
    <col min="2" max="2" width="21.140625" style="1" customWidth="1"/>
    <col min="3" max="4" width="14.42578125" style="1" customWidth="1"/>
    <col min="5" max="5" width="7.5703125" style="1" customWidth="1"/>
    <col min="6" max="6" width="15.42578125" style="1" customWidth="1"/>
    <col min="7" max="7" width="13.85546875" style="1" customWidth="1"/>
    <col min="8" max="8" width="8.7109375" style="1" customWidth="1"/>
    <col min="9" max="16384" width="8.7109375" style="1"/>
  </cols>
  <sheetData>
    <row r="1" spans="2:10" ht="10.5" customHeight="1" thickBot="1"/>
    <row r="2" spans="2:10" ht="24" customHeight="1" thickBot="1">
      <c r="B2" s="80" t="s">
        <v>11</v>
      </c>
      <c r="C2" s="81"/>
      <c r="D2" s="81"/>
      <c r="E2" s="82"/>
      <c r="F2" s="78" t="s">
        <v>24</v>
      </c>
      <c r="G2" s="79"/>
      <c r="H2" s="6"/>
    </row>
    <row r="3" spans="2:10" ht="6" customHeight="1" thickBot="1"/>
    <row r="4" spans="2:10" ht="16.5" customHeight="1">
      <c r="B4" s="90" t="s">
        <v>10</v>
      </c>
      <c r="C4" s="88" t="s">
        <v>1</v>
      </c>
      <c r="D4" s="88"/>
      <c r="E4" s="88"/>
      <c r="F4" s="88" t="s">
        <v>2</v>
      </c>
      <c r="G4" s="88"/>
      <c r="H4" s="89"/>
    </row>
    <row r="5" spans="2:10" ht="16.5" customHeight="1">
      <c r="B5" s="91"/>
      <c r="C5" s="19" t="s">
        <v>16</v>
      </c>
      <c r="D5" s="19" t="s">
        <v>17</v>
      </c>
      <c r="E5" s="19" t="s">
        <v>3</v>
      </c>
      <c r="F5" s="19" t="s">
        <v>16</v>
      </c>
      <c r="G5" s="19" t="s">
        <v>17</v>
      </c>
      <c r="H5" s="20" t="s">
        <v>3</v>
      </c>
    </row>
    <row r="6" spans="2:10" ht="26.45" customHeight="1">
      <c r="B6" s="14" t="s">
        <v>4</v>
      </c>
      <c r="C6" s="21">
        <v>510000</v>
      </c>
      <c r="D6" s="21">
        <v>451920.45</v>
      </c>
      <c r="E6" s="16">
        <f>D6/C6</f>
        <v>0.88611852941176472</v>
      </c>
      <c r="F6" s="21">
        <f>'JAN-25'!C6+'FEB-25'!C6</f>
        <v>1130000</v>
      </c>
      <c r="G6" s="21">
        <f>'JAN-25'!D6+'FEB-25'!D6</f>
        <v>773893.45</v>
      </c>
      <c r="H6" s="17">
        <f>G6/F6</f>
        <v>0.68486146017699112</v>
      </c>
    </row>
    <row r="7" spans="2:10" ht="26.45" customHeight="1" thickBot="1">
      <c r="B7" s="15" t="s">
        <v>5</v>
      </c>
      <c r="C7" s="21">
        <v>222000</v>
      </c>
      <c r="D7" s="21">
        <v>207410</v>
      </c>
      <c r="E7" s="16">
        <f>D7/C7</f>
        <v>0.93427927927927923</v>
      </c>
      <c r="F7" s="21">
        <f>'JAN-25'!C7+'FEB-25'!C7</f>
        <v>442000</v>
      </c>
      <c r="G7" s="21">
        <f>'JAN-25'!D7+'FEB-25'!D7</f>
        <v>318510</v>
      </c>
      <c r="H7" s="17">
        <f>G7/F7</f>
        <v>0.7206108597285068</v>
      </c>
    </row>
    <row r="8" spans="2:10" ht="6" customHeight="1">
      <c r="C8" s="2"/>
      <c r="D8" s="2"/>
      <c r="E8" s="2"/>
      <c r="F8" s="2"/>
      <c r="G8" s="2"/>
      <c r="H8" s="2"/>
    </row>
    <row r="9" spans="2:10" ht="22.5" customHeight="1">
      <c r="C9" s="2"/>
      <c r="D9" s="2"/>
      <c r="E9" s="2"/>
      <c r="F9" s="2"/>
      <c r="G9" s="2"/>
      <c r="H9" s="2"/>
    </row>
    <row r="10" spans="2:10" ht="22.5" customHeight="1">
      <c r="C10" s="2"/>
      <c r="D10" s="2"/>
      <c r="E10" s="2"/>
      <c r="F10" s="2"/>
      <c r="G10" s="2"/>
      <c r="H10" s="2"/>
      <c r="J10"/>
    </row>
    <row r="11" spans="2:10" ht="22.5" customHeight="1">
      <c r="C11" s="2"/>
      <c r="D11" s="2"/>
      <c r="E11" s="2"/>
      <c r="F11" s="2"/>
      <c r="G11" s="2"/>
      <c r="H11" s="2"/>
    </row>
    <row r="12" spans="2:10" ht="22.5" customHeight="1">
      <c r="C12" s="2"/>
      <c r="D12" s="2"/>
      <c r="E12" s="2"/>
      <c r="F12" s="2"/>
      <c r="G12" s="2"/>
      <c r="H12" s="2"/>
    </row>
    <row r="13" spans="2:10" ht="22.5" customHeight="1">
      <c r="C13" s="2"/>
      <c r="D13" s="2"/>
      <c r="E13" s="2"/>
      <c r="F13" s="2"/>
      <c r="G13" s="2"/>
      <c r="H13" s="2"/>
    </row>
    <row r="14" spans="2:10" ht="22.5" customHeight="1">
      <c r="C14" s="2"/>
      <c r="D14" s="2"/>
      <c r="E14" s="2"/>
      <c r="F14" s="2"/>
      <c r="G14" s="2"/>
      <c r="H14" s="2"/>
    </row>
    <row r="15" spans="2:10" ht="15.75" thickBot="1"/>
    <row r="16" spans="2:10" ht="21.6" customHeight="1">
      <c r="B16" s="8" t="s">
        <v>9</v>
      </c>
      <c r="C16" s="9"/>
      <c r="D16" s="9"/>
      <c r="E16" s="9"/>
      <c r="F16" s="9"/>
      <c r="G16" s="9"/>
      <c r="H16" s="10"/>
    </row>
    <row r="17" spans="2:8">
      <c r="B17" s="11" t="s">
        <v>6</v>
      </c>
      <c r="C17" s="86" t="s">
        <v>19</v>
      </c>
      <c r="D17" s="86"/>
      <c r="E17" s="86" t="s">
        <v>7</v>
      </c>
      <c r="F17" s="86"/>
      <c r="G17" s="86" t="s">
        <v>8</v>
      </c>
      <c r="H17" s="87"/>
    </row>
    <row r="18" spans="2:8" ht="24" customHeight="1" thickBot="1">
      <c r="B18" s="12">
        <v>39</v>
      </c>
      <c r="C18" s="83">
        <v>5</v>
      </c>
      <c r="D18" s="84"/>
      <c r="E18" s="83">
        <f>B18+C18</f>
        <v>44</v>
      </c>
      <c r="F18" s="84"/>
      <c r="G18" s="83">
        <v>7</v>
      </c>
      <c r="H18" s="85"/>
    </row>
    <row r="19" spans="2:8" ht="15.75" thickBot="1"/>
    <row r="20" spans="2:8">
      <c r="B20" s="69" t="s">
        <v>20</v>
      </c>
      <c r="C20" s="70"/>
      <c r="D20" s="70"/>
      <c r="E20" s="70"/>
      <c r="F20" s="70"/>
      <c r="G20" s="70"/>
      <c r="H20" s="71"/>
    </row>
    <row r="21" spans="2:8">
      <c r="B21" s="72" t="s">
        <v>26</v>
      </c>
      <c r="C21" s="73"/>
      <c r="D21" s="73"/>
      <c r="E21" s="73"/>
      <c r="F21" s="73"/>
      <c r="G21" s="73"/>
      <c r="H21" s="74"/>
    </row>
    <row r="22" spans="2:8" ht="6" customHeight="1">
      <c r="B22" s="72"/>
      <c r="C22" s="73"/>
      <c r="D22" s="73"/>
      <c r="E22" s="73"/>
      <c r="F22" s="73"/>
      <c r="G22" s="73"/>
      <c r="H22" s="74"/>
    </row>
    <row r="23" spans="2:8" ht="20.25" customHeight="1" thickBot="1">
      <c r="B23" s="75"/>
      <c r="C23" s="76"/>
      <c r="D23" s="76"/>
      <c r="E23" s="76"/>
      <c r="F23" s="76"/>
      <c r="G23" s="76"/>
      <c r="H23" s="77"/>
    </row>
  </sheetData>
  <mergeCells count="15">
    <mergeCell ref="B23:H23"/>
    <mergeCell ref="C18:D18"/>
    <mergeCell ref="E18:F18"/>
    <mergeCell ref="G18:H18"/>
    <mergeCell ref="B20:H20"/>
    <mergeCell ref="B21:H21"/>
    <mergeCell ref="B22:H22"/>
    <mergeCell ref="C17:D17"/>
    <mergeCell ref="E17:F17"/>
    <mergeCell ref="G17:H17"/>
    <mergeCell ref="B2:E2"/>
    <mergeCell ref="F2:G2"/>
    <mergeCell ref="B4:B5"/>
    <mergeCell ref="C4:E4"/>
    <mergeCell ref="F4:H4"/>
  </mergeCells>
  <printOptions horizontalCentered="1"/>
  <pageMargins left="3.937007874015748E-2" right="3.937007874015748E-2" top="0.74803149606299213" bottom="0.74803149606299213" header="0.31496062992125984" footer="0.31496062992125984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J23"/>
  <sheetViews>
    <sheetView showGridLines="0" zoomScale="90" zoomScaleNormal="90" workbookViewId="0">
      <selection activeCell="F6" sqref="F6"/>
    </sheetView>
  </sheetViews>
  <sheetFormatPr defaultColWidth="8.7109375" defaultRowHeight="15"/>
  <cols>
    <col min="1" max="1" width="1.85546875" style="1" customWidth="1"/>
    <col min="2" max="2" width="21.140625" style="1" customWidth="1"/>
    <col min="3" max="4" width="14.42578125" style="1" customWidth="1"/>
    <col min="5" max="5" width="8.7109375" style="1"/>
    <col min="6" max="6" width="17.28515625" style="1" customWidth="1"/>
    <col min="7" max="7" width="13.85546875" style="1" customWidth="1"/>
    <col min="8" max="16384" width="8.7109375" style="1"/>
  </cols>
  <sheetData>
    <row r="1" spans="2:10" ht="10.5" customHeight="1" thickBot="1"/>
    <row r="2" spans="2:10" ht="24" customHeight="1" thickBot="1">
      <c r="B2" s="80" t="s">
        <v>11</v>
      </c>
      <c r="C2" s="81"/>
      <c r="D2" s="81"/>
      <c r="E2" s="82"/>
      <c r="F2" s="78" t="s">
        <v>25</v>
      </c>
      <c r="G2" s="79"/>
      <c r="H2" s="6"/>
    </row>
    <row r="3" spans="2:10" ht="6" customHeight="1" thickBot="1"/>
    <row r="4" spans="2:10" ht="16.5" customHeight="1">
      <c r="B4" s="90" t="s">
        <v>10</v>
      </c>
      <c r="C4" s="88" t="s">
        <v>1</v>
      </c>
      <c r="D4" s="88"/>
      <c r="E4" s="88"/>
      <c r="F4" s="88" t="s">
        <v>2</v>
      </c>
      <c r="G4" s="88"/>
      <c r="H4" s="89"/>
    </row>
    <row r="5" spans="2:10" ht="16.5" customHeight="1">
      <c r="B5" s="91"/>
      <c r="C5" s="24" t="s">
        <v>16</v>
      </c>
      <c r="D5" s="24" t="s">
        <v>17</v>
      </c>
      <c r="E5" s="24" t="s">
        <v>3</v>
      </c>
      <c r="F5" s="24" t="s">
        <v>16</v>
      </c>
      <c r="G5" s="24" t="s">
        <v>17</v>
      </c>
      <c r="H5" s="25" t="s">
        <v>3</v>
      </c>
    </row>
    <row r="6" spans="2:10" ht="26.45" customHeight="1">
      <c r="B6" s="14" t="s">
        <v>4</v>
      </c>
      <c r="C6" s="26">
        <v>650000</v>
      </c>
      <c r="D6" s="28">
        <v>351515</v>
      </c>
      <c r="E6" s="16">
        <f>D6/C6</f>
        <v>0.54079230769230768</v>
      </c>
      <c r="F6" s="30">
        <f>'JAN-25'!C6+'FEB-25'!C6+'MAR-25'!C6</f>
        <v>1780000</v>
      </c>
      <c r="G6" s="28">
        <f>'JAN-25'!D6+'FEB-25'!D6+'MAR-25'!D6</f>
        <v>1125408.45</v>
      </c>
      <c r="H6" s="17">
        <f>G6/F6</f>
        <v>0.63225193820224712</v>
      </c>
    </row>
    <row r="7" spans="2:10" ht="26.45" customHeight="1" thickBot="1">
      <c r="B7" s="15" t="s">
        <v>5</v>
      </c>
      <c r="C7" s="27">
        <v>260000</v>
      </c>
      <c r="D7" s="29">
        <v>307751</v>
      </c>
      <c r="E7" s="16">
        <f>D7/C7</f>
        <v>1.1836576923076922</v>
      </c>
      <c r="F7" s="31">
        <f>'JAN-25'!C7+'FEB-25'!C7+'MAR-25'!C7</f>
        <v>702000</v>
      </c>
      <c r="G7" s="29">
        <f>'JAN-25'!D7+'FEB-25'!D7+'MAR-25'!D7</f>
        <v>626261</v>
      </c>
      <c r="H7" s="17">
        <f>G7/F7</f>
        <v>0.89210968660968659</v>
      </c>
    </row>
    <row r="8" spans="2:10" ht="6" customHeight="1">
      <c r="C8" s="2"/>
      <c r="D8" s="2"/>
      <c r="E8" s="2"/>
      <c r="F8" s="2"/>
      <c r="G8" s="2"/>
      <c r="H8" s="2"/>
    </row>
    <row r="9" spans="2:10" ht="22.5" customHeight="1">
      <c r="C9" s="2"/>
      <c r="D9" s="2"/>
      <c r="E9" s="2"/>
      <c r="F9" s="2"/>
      <c r="G9" s="2"/>
      <c r="H9" s="2"/>
    </row>
    <row r="10" spans="2:10" ht="22.5" customHeight="1">
      <c r="C10" s="2"/>
      <c r="D10" s="2"/>
      <c r="E10" s="2"/>
      <c r="F10" s="2"/>
      <c r="G10" s="2"/>
      <c r="H10" s="2"/>
      <c r="J10"/>
    </row>
    <row r="11" spans="2:10" ht="22.5" customHeight="1">
      <c r="C11" s="2"/>
      <c r="D11" s="2"/>
      <c r="E11" s="2"/>
      <c r="F11" s="2"/>
      <c r="G11" s="2"/>
      <c r="H11" s="2"/>
    </row>
    <row r="12" spans="2:10" ht="22.5" customHeight="1">
      <c r="C12" s="2"/>
      <c r="D12" s="2"/>
      <c r="E12" s="2"/>
      <c r="F12" s="2"/>
      <c r="G12" s="2"/>
      <c r="H12" s="2"/>
    </row>
    <row r="13" spans="2:10" ht="22.5" customHeight="1">
      <c r="C13" s="2"/>
      <c r="D13" s="2"/>
      <c r="E13" s="2"/>
      <c r="F13" s="2"/>
      <c r="G13" s="2"/>
      <c r="H13" s="2"/>
    </row>
    <row r="14" spans="2:10" ht="22.5" customHeight="1">
      <c r="C14" s="2"/>
      <c r="D14" s="2"/>
      <c r="E14" s="2"/>
      <c r="F14" s="2"/>
      <c r="G14" s="2"/>
      <c r="H14" s="2"/>
    </row>
    <row r="15" spans="2:10" ht="15.75" thickBot="1"/>
    <row r="16" spans="2:10" ht="21.6" customHeight="1">
      <c r="B16" s="8" t="s">
        <v>9</v>
      </c>
      <c r="C16" s="9"/>
      <c r="D16" s="9"/>
      <c r="E16" s="9"/>
      <c r="F16" s="9"/>
      <c r="G16" s="9"/>
      <c r="H16" s="10"/>
    </row>
    <row r="17" spans="2:8">
      <c r="B17" s="11" t="s">
        <v>6</v>
      </c>
      <c r="C17" s="86" t="s">
        <v>19</v>
      </c>
      <c r="D17" s="86"/>
      <c r="E17" s="86" t="s">
        <v>7</v>
      </c>
      <c r="F17" s="86"/>
      <c r="G17" s="86" t="s">
        <v>8</v>
      </c>
      <c r="H17" s="87"/>
    </row>
    <row r="18" spans="2:8" ht="24" customHeight="1" thickBot="1">
      <c r="B18" s="12">
        <v>44</v>
      </c>
      <c r="C18" s="83">
        <v>2</v>
      </c>
      <c r="D18" s="84"/>
      <c r="E18" s="83">
        <f>B18+C18</f>
        <v>46</v>
      </c>
      <c r="F18" s="84"/>
      <c r="G18" s="83">
        <v>2</v>
      </c>
      <c r="H18" s="85"/>
    </row>
    <row r="19" spans="2:8" ht="15.75" thickBot="1"/>
    <row r="20" spans="2:8">
      <c r="B20" s="69" t="s">
        <v>20</v>
      </c>
      <c r="C20" s="70"/>
      <c r="D20" s="70"/>
      <c r="E20" s="70"/>
      <c r="F20" s="70"/>
      <c r="G20" s="70"/>
      <c r="H20" s="71"/>
    </row>
    <row r="21" spans="2:8">
      <c r="B21" s="72" t="s">
        <v>27</v>
      </c>
      <c r="C21" s="73"/>
      <c r="D21" s="73"/>
      <c r="E21" s="73"/>
      <c r="F21" s="73"/>
      <c r="G21" s="73"/>
      <c r="H21" s="74"/>
    </row>
    <row r="22" spans="2:8">
      <c r="B22" s="72"/>
      <c r="C22" s="73"/>
      <c r="D22" s="73"/>
      <c r="E22" s="73"/>
      <c r="F22" s="73"/>
      <c r="G22" s="73"/>
      <c r="H22" s="74"/>
    </row>
    <row r="23" spans="2:8" ht="15.75" thickBot="1">
      <c r="B23" s="75"/>
      <c r="C23" s="76"/>
      <c r="D23" s="76"/>
      <c r="E23" s="76"/>
      <c r="F23" s="76"/>
      <c r="G23" s="76"/>
      <c r="H23" s="77"/>
    </row>
  </sheetData>
  <mergeCells count="15">
    <mergeCell ref="C17:D17"/>
    <mergeCell ref="E17:F17"/>
    <mergeCell ref="G17:H17"/>
    <mergeCell ref="B2:E2"/>
    <mergeCell ref="F2:G2"/>
    <mergeCell ref="B4:B5"/>
    <mergeCell ref="C4:E4"/>
    <mergeCell ref="F4:H4"/>
    <mergeCell ref="B23:H23"/>
    <mergeCell ref="C18:D18"/>
    <mergeCell ref="E18:F18"/>
    <mergeCell ref="G18:H18"/>
    <mergeCell ref="B20:H20"/>
    <mergeCell ref="B21:H21"/>
    <mergeCell ref="B22:H22"/>
  </mergeCells>
  <printOptions horizontalCentered="1"/>
  <pageMargins left="3.937007874015748E-2" right="3.937007874015748E-2" top="0.74803149606299213" bottom="0.74803149606299213" header="0.31496062992125984" footer="0.31496062992125984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H23"/>
  <sheetViews>
    <sheetView workbookViewId="0">
      <selection activeCell="F6" sqref="F6"/>
    </sheetView>
  </sheetViews>
  <sheetFormatPr defaultRowHeight="15"/>
  <cols>
    <col min="1" max="1" width="4.140625" customWidth="1"/>
    <col min="2" max="2" width="19.140625" customWidth="1"/>
    <col min="3" max="3" width="15.85546875" customWidth="1"/>
    <col min="4" max="4" width="12.140625" customWidth="1"/>
    <col min="5" max="5" width="8.7109375" customWidth="1"/>
    <col min="6" max="6" width="15.85546875" customWidth="1"/>
    <col min="7" max="7" width="13" customWidth="1"/>
  </cols>
  <sheetData>
    <row r="1" spans="2:8" ht="17.25" customHeight="1" thickBot="1"/>
    <row r="2" spans="2:8" ht="19.5" thickBot="1">
      <c r="B2" s="80" t="s">
        <v>11</v>
      </c>
      <c r="C2" s="81"/>
      <c r="D2" s="81"/>
      <c r="E2" s="82"/>
      <c r="F2" s="78" t="s">
        <v>30</v>
      </c>
      <c r="G2" s="79"/>
      <c r="H2" s="6"/>
    </row>
    <row r="3" spans="2:8" ht="15.75" thickBot="1">
      <c r="B3" s="1"/>
      <c r="C3" s="1"/>
      <c r="D3" s="1"/>
      <c r="E3" s="1"/>
      <c r="F3" s="1"/>
      <c r="G3" s="1"/>
      <c r="H3" s="1"/>
    </row>
    <row r="4" spans="2:8">
      <c r="B4" s="90" t="s">
        <v>10</v>
      </c>
      <c r="C4" s="88" t="s">
        <v>1</v>
      </c>
      <c r="D4" s="88"/>
      <c r="E4" s="88"/>
      <c r="F4" s="88" t="s">
        <v>2</v>
      </c>
      <c r="G4" s="88"/>
      <c r="H4" s="89"/>
    </row>
    <row r="5" spans="2:8" ht="16.5" customHeight="1">
      <c r="B5" s="91"/>
      <c r="C5" s="35" t="s">
        <v>16</v>
      </c>
      <c r="D5" s="35" t="s">
        <v>17</v>
      </c>
      <c r="E5" s="35" t="s">
        <v>3</v>
      </c>
      <c r="F5" s="35" t="s">
        <v>16</v>
      </c>
      <c r="G5" s="35" t="s">
        <v>17</v>
      </c>
      <c r="H5" s="36" t="s">
        <v>3</v>
      </c>
    </row>
    <row r="6" spans="2:8" ht="20.25" customHeight="1">
      <c r="B6" s="14" t="s">
        <v>4</v>
      </c>
      <c r="C6" s="26">
        <v>1430000</v>
      </c>
      <c r="D6" s="28">
        <v>227073.43</v>
      </c>
      <c r="E6" s="16">
        <f>D6/C6</f>
        <v>0.15879260839160839</v>
      </c>
      <c r="F6" s="30">
        <f>'APR-25'!C6+'MAR-25'!F6</f>
        <v>3210000</v>
      </c>
      <c r="G6" s="28">
        <f>D6+'MAR-25'!G6</f>
        <v>1352481.88</v>
      </c>
      <c r="H6" s="17">
        <f>G6/F6</f>
        <v>0.42133391900311523</v>
      </c>
    </row>
    <row r="7" spans="2:8" ht="21.75" customHeight="1" thickBot="1">
      <c r="B7" s="15" t="s">
        <v>5</v>
      </c>
      <c r="C7" s="27">
        <v>535000</v>
      </c>
      <c r="D7" s="29">
        <v>181311</v>
      </c>
      <c r="E7" s="16">
        <f>D7/C7</f>
        <v>0.33889906542056075</v>
      </c>
      <c r="F7" s="31">
        <f>C7+'MAR-25'!F7</f>
        <v>1237000</v>
      </c>
      <c r="G7" s="29">
        <f>D7+'MAR-25'!G7</f>
        <v>807572</v>
      </c>
      <c r="H7" s="17">
        <f>G7/F7</f>
        <v>0.65284721099434118</v>
      </c>
    </row>
    <row r="8" spans="2:8">
      <c r="B8" s="1"/>
      <c r="C8" s="2"/>
      <c r="D8" s="2"/>
      <c r="E8" s="2"/>
      <c r="F8" s="2"/>
      <c r="G8" s="2"/>
      <c r="H8" s="2"/>
    </row>
    <row r="9" spans="2:8">
      <c r="B9" s="1"/>
      <c r="C9" s="2"/>
      <c r="D9" s="2"/>
      <c r="E9" s="2"/>
      <c r="F9" s="2"/>
      <c r="G9" s="2"/>
      <c r="H9" s="2"/>
    </row>
    <row r="10" spans="2:8">
      <c r="B10" s="1"/>
      <c r="C10" s="2"/>
      <c r="D10" s="2"/>
      <c r="E10" s="2"/>
      <c r="F10" s="2"/>
      <c r="G10" s="2"/>
      <c r="H10" s="2"/>
    </row>
    <row r="11" spans="2:8">
      <c r="B11" s="1"/>
      <c r="C11" s="2"/>
      <c r="D11" s="2"/>
      <c r="E11" s="2"/>
      <c r="F11" s="2"/>
      <c r="G11" s="2"/>
      <c r="H11" s="2"/>
    </row>
    <row r="12" spans="2:8">
      <c r="B12" s="1"/>
      <c r="C12" s="2"/>
      <c r="D12" s="2"/>
      <c r="E12" s="2"/>
      <c r="F12" s="2"/>
      <c r="G12" s="2"/>
      <c r="H12" s="2"/>
    </row>
    <row r="13" spans="2:8">
      <c r="B13" s="1"/>
      <c r="C13" s="2"/>
      <c r="D13" s="2"/>
      <c r="E13" s="2"/>
      <c r="F13" s="2"/>
      <c r="G13" s="2"/>
      <c r="H13" s="2"/>
    </row>
    <row r="14" spans="2:8">
      <c r="B14" s="1"/>
      <c r="C14" s="2"/>
      <c r="D14" s="2"/>
      <c r="E14" s="2"/>
      <c r="F14" s="2"/>
      <c r="G14" s="2"/>
      <c r="H14" s="2"/>
    </row>
    <row r="15" spans="2:8" ht="21" customHeight="1" thickBot="1">
      <c r="B15" s="1"/>
      <c r="C15" s="1"/>
      <c r="D15" s="1"/>
      <c r="E15" s="1"/>
      <c r="F15" s="1"/>
      <c r="G15" s="1"/>
      <c r="H15" s="1"/>
    </row>
    <row r="16" spans="2:8" ht="18" customHeight="1">
      <c r="B16" s="8" t="s">
        <v>9</v>
      </c>
      <c r="C16" s="9"/>
      <c r="D16" s="9"/>
      <c r="E16" s="9"/>
      <c r="F16" s="9"/>
      <c r="G16" s="9"/>
      <c r="H16" s="10"/>
    </row>
    <row r="17" spans="2:8">
      <c r="B17" s="11" t="s">
        <v>6</v>
      </c>
      <c r="C17" s="86" t="s">
        <v>19</v>
      </c>
      <c r="D17" s="86"/>
      <c r="E17" s="86" t="s">
        <v>7</v>
      </c>
      <c r="F17" s="86"/>
      <c r="G17" s="86" t="s">
        <v>8</v>
      </c>
      <c r="H17" s="87"/>
    </row>
    <row r="18" spans="2:8" ht="15.75" thickBot="1">
      <c r="B18" s="39">
        <v>46</v>
      </c>
      <c r="C18" s="83">
        <v>5</v>
      </c>
      <c r="D18" s="84"/>
      <c r="E18" s="83">
        <f>B18+C18</f>
        <v>51</v>
      </c>
      <c r="F18" s="84"/>
      <c r="G18" s="83">
        <v>2</v>
      </c>
      <c r="H18" s="85"/>
    </row>
    <row r="19" spans="2:8" ht="16.5" customHeight="1" thickBot="1">
      <c r="B19" s="1"/>
      <c r="C19" s="1"/>
      <c r="D19" s="1"/>
      <c r="E19" s="1"/>
      <c r="F19" s="1"/>
      <c r="G19" s="1"/>
      <c r="H19" s="1"/>
    </row>
    <row r="20" spans="2:8">
      <c r="B20" s="92" t="s">
        <v>20</v>
      </c>
      <c r="C20" s="93"/>
      <c r="D20" s="93"/>
      <c r="E20" s="93"/>
      <c r="F20" s="93"/>
      <c r="G20" s="93"/>
      <c r="H20" s="94"/>
    </row>
    <row r="21" spans="2:8">
      <c r="B21" s="95" t="s">
        <v>31</v>
      </c>
      <c r="C21" s="96"/>
      <c r="D21" s="96"/>
      <c r="E21" s="96"/>
      <c r="F21" s="96"/>
      <c r="G21" s="96"/>
      <c r="H21" s="97"/>
    </row>
    <row r="22" spans="2:8">
      <c r="B22" s="95" t="s">
        <v>28</v>
      </c>
      <c r="C22" s="96"/>
      <c r="D22" s="96"/>
      <c r="E22" s="96"/>
      <c r="F22" s="96"/>
      <c r="G22" s="96"/>
      <c r="H22" s="97"/>
    </row>
    <row r="23" spans="2:8" ht="2.25" customHeight="1" thickBot="1">
      <c r="B23" s="75"/>
      <c r="C23" s="76"/>
      <c r="D23" s="76"/>
      <c r="E23" s="76"/>
      <c r="F23" s="76"/>
      <c r="G23" s="76"/>
      <c r="H23" s="77"/>
    </row>
  </sheetData>
  <mergeCells count="15">
    <mergeCell ref="B23:H23"/>
    <mergeCell ref="B2:E2"/>
    <mergeCell ref="F2:G2"/>
    <mergeCell ref="B4:B5"/>
    <mergeCell ref="C4:E4"/>
    <mergeCell ref="F4:H4"/>
    <mergeCell ref="C17:D17"/>
    <mergeCell ref="E17:F17"/>
    <mergeCell ref="G17:H17"/>
    <mergeCell ref="C18:D18"/>
    <mergeCell ref="E18:F18"/>
    <mergeCell ref="G18:H18"/>
    <mergeCell ref="B20:H20"/>
    <mergeCell ref="B21:H21"/>
    <mergeCell ref="B22:H2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:H22"/>
  <sheetViews>
    <sheetView workbookViewId="0">
      <selection activeCell="J9" sqref="J9"/>
    </sheetView>
  </sheetViews>
  <sheetFormatPr defaultRowHeight="15"/>
  <cols>
    <col min="1" max="1" width="4" customWidth="1"/>
    <col min="2" max="2" width="20.7109375" customWidth="1"/>
    <col min="3" max="3" width="14.42578125" customWidth="1"/>
    <col min="4" max="4" width="12.7109375" customWidth="1"/>
    <col min="5" max="5" width="9.7109375" customWidth="1"/>
    <col min="6" max="6" width="16.28515625" customWidth="1"/>
    <col min="7" max="7" width="14.85546875" customWidth="1"/>
    <col min="8" max="8" width="9.42578125" customWidth="1"/>
  </cols>
  <sheetData>
    <row r="1" spans="2:8" ht="15.75" thickBot="1"/>
    <row r="2" spans="2:8" ht="19.5" thickBot="1">
      <c r="B2" s="80" t="s">
        <v>11</v>
      </c>
      <c r="C2" s="81"/>
      <c r="D2" s="81"/>
      <c r="E2" s="82"/>
      <c r="F2" s="78" t="s">
        <v>29</v>
      </c>
      <c r="G2" s="79"/>
      <c r="H2" s="6"/>
    </row>
    <row r="3" spans="2:8" ht="15.75" thickBot="1">
      <c r="B3" s="1"/>
      <c r="C3" s="1"/>
      <c r="D3" s="1"/>
      <c r="E3" s="1"/>
      <c r="F3" s="1"/>
      <c r="G3" s="1"/>
      <c r="H3" s="1"/>
    </row>
    <row r="4" spans="2:8">
      <c r="B4" s="90" t="s">
        <v>10</v>
      </c>
      <c r="C4" s="88" t="s">
        <v>1</v>
      </c>
      <c r="D4" s="88"/>
      <c r="E4" s="88"/>
      <c r="F4" s="88" t="s">
        <v>2</v>
      </c>
      <c r="G4" s="88"/>
      <c r="H4" s="89"/>
    </row>
    <row r="5" spans="2:8" ht="20.25" customHeight="1">
      <c r="B5" s="91"/>
      <c r="C5" s="37" t="s">
        <v>16</v>
      </c>
      <c r="D5" s="37" t="s">
        <v>17</v>
      </c>
      <c r="E5" s="37" t="s">
        <v>3</v>
      </c>
      <c r="F5" s="37" t="s">
        <v>16</v>
      </c>
      <c r="G5" s="37" t="s">
        <v>17</v>
      </c>
      <c r="H5" s="38" t="s">
        <v>3</v>
      </c>
    </row>
    <row r="6" spans="2:8" ht="21" customHeight="1">
      <c r="B6" s="14" t="s">
        <v>4</v>
      </c>
      <c r="C6" s="26">
        <v>1510000</v>
      </c>
      <c r="D6" s="28">
        <v>673893</v>
      </c>
      <c r="E6" s="16">
        <f>D6/C6</f>
        <v>0.44628675496688741</v>
      </c>
      <c r="F6" s="30">
        <f>'JAN-25'!C6+'FEB-25'!C6+'MAR-25'!C6+'APR-25'!C6+'MAY-25'!C6</f>
        <v>4720000</v>
      </c>
      <c r="G6" s="28">
        <f>'JAN-25'!D6+'FEB-25'!D6+'MAR-25'!D6+'APR-25'!D6+'MAY-25'!D6</f>
        <v>2026374.88</v>
      </c>
      <c r="H6" s="17">
        <f>G6/F6</f>
        <v>0.42931671186440673</v>
      </c>
    </row>
    <row r="7" spans="2:8" ht="23.25" customHeight="1" thickBot="1">
      <c r="B7" s="15" t="s">
        <v>5</v>
      </c>
      <c r="C7" s="41">
        <v>400000</v>
      </c>
      <c r="D7" s="29">
        <v>206705</v>
      </c>
      <c r="E7" s="16">
        <f>D7/C7</f>
        <v>0.51676250000000001</v>
      </c>
      <c r="F7" s="31">
        <f>'JAN-25'!C7+'FEB-25'!C7+'MAR-25'!C7+'APR-25'!C7+'MAY-25'!C7</f>
        <v>1637000</v>
      </c>
      <c r="G7" s="29">
        <f>'JAN-25'!D7+'FEB-25'!D7+'MAR-25'!D7+'APR-25'!D7+'MAY-25'!D7</f>
        <v>1014277</v>
      </c>
      <c r="H7" s="17">
        <f>G7/F7</f>
        <v>0.61959499083689673</v>
      </c>
    </row>
    <row r="8" spans="2:8">
      <c r="B8" s="1"/>
      <c r="C8" s="2"/>
      <c r="D8" s="2"/>
      <c r="E8" s="2"/>
      <c r="F8" s="2"/>
      <c r="G8" s="2"/>
      <c r="H8" s="2"/>
    </row>
    <row r="9" spans="2:8">
      <c r="B9" s="1"/>
      <c r="C9" s="2"/>
      <c r="D9" s="2"/>
      <c r="E9" s="2"/>
      <c r="F9" s="2"/>
      <c r="G9" s="2"/>
      <c r="H9" s="2"/>
    </row>
    <row r="10" spans="2:8">
      <c r="B10" s="1"/>
      <c r="C10" s="2"/>
      <c r="D10" s="2"/>
      <c r="E10" s="2"/>
      <c r="F10" s="2"/>
      <c r="G10" s="2"/>
      <c r="H10" s="2"/>
    </row>
    <row r="11" spans="2:8">
      <c r="B11" s="1"/>
      <c r="C11" s="2"/>
      <c r="D11" s="2"/>
      <c r="E11" s="2"/>
      <c r="F11" s="2"/>
      <c r="G11" s="2"/>
      <c r="H11" s="2"/>
    </row>
    <row r="12" spans="2:8">
      <c r="B12" s="1"/>
      <c r="C12" s="2"/>
      <c r="D12" s="2"/>
      <c r="E12" s="2"/>
      <c r="F12" s="2"/>
      <c r="G12" s="2"/>
      <c r="H12" s="2"/>
    </row>
    <row r="13" spans="2:8">
      <c r="B13" s="1"/>
      <c r="C13" s="2"/>
      <c r="D13" s="2"/>
      <c r="E13" s="2"/>
      <c r="F13" s="2"/>
      <c r="G13" s="2"/>
      <c r="H13" s="2"/>
    </row>
    <row r="14" spans="2:8">
      <c r="B14" s="1"/>
      <c r="C14" s="2"/>
      <c r="D14" s="2"/>
      <c r="E14" s="2"/>
      <c r="F14" s="2"/>
      <c r="G14" s="2"/>
      <c r="H14" s="2"/>
    </row>
    <row r="15" spans="2:8" ht="27" customHeight="1" thickBot="1">
      <c r="B15" s="1"/>
      <c r="C15" s="1"/>
      <c r="D15" s="1"/>
      <c r="E15" s="1"/>
      <c r="F15" s="1"/>
      <c r="G15" s="1"/>
      <c r="H15" s="1"/>
    </row>
    <row r="16" spans="2:8">
      <c r="B16" s="8" t="s">
        <v>9</v>
      </c>
      <c r="C16" s="9"/>
      <c r="D16" s="9"/>
      <c r="E16" s="9"/>
      <c r="F16" s="9"/>
      <c r="G16" s="9"/>
      <c r="H16" s="10"/>
    </row>
    <row r="17" spans="2:8">
      <c r="B17" s="11" t="s">
        <v>6</v>
      </c>
      <c r="C17" s="86" t="s">
        <v>19</v>
      </c>
      <c r="D17" s="86"/>
      <c r="E17" s="86" t="s">
        <v>7</v>
      </c>
      <c r="F17" s="86"/>
      <c r="G17" s="86" t="s">
        <v>8</v>
      </c>
      <c r="H17" s="87"/>
    </row>
    <row r="18" spans="2:8" ht="18.75" customHeight="1" thickBot="1">
      <c r="B18" s="39">
        <v>51</v>
      </c>
      <c r="C18" s="83">
        <v>5</v>
      </c>
      <c r="D18" s="84"/>
      <c r="E18" s="83">
        <f>B18+C18</f>
        <v>56</v>
      </c>
      <c r="F18" s="84"/>
      <c r="G18" s="83">
        <v>2</v>
      </c>
      <c r="H18" s="85"/>
    </row>
    <row r="19" spans="2:8" ht="9" customHeight="1"/>
    <row r="20" spans="2:8">
      <c r="B20" s="40" t="s">
        <v>20</v>
      </c>
      <c r="C20" s="40"/>
      <c r="D20" s="40"/>
      <c r="E20" s="40"/>
      <c r="F20" s="40"/>
      <c r="G20" s="40"/>
      <c r="H20" s="40"/>
    </row>
    <row r="21" spans="2:8">
      <c r="B21" s="98" t="s">
        <v>34</v>
      </c>
      <c r="C21" s="98"/>
      <c r="D21" s="98"/>
      <c r="E21" s="98"/>
      <c r="F21" s="98"/>
      <c r="G21" s="98"/>
      <c r="H21" s="98"/>
    </row>
    <row r="22" spans="2:8">
      <c r="B22" s="98" t="s">
        <v>33</v>
      </c>
      <c r="C22" s="98"/>
      <c r="D22" s="98"/>
      <c r="E22" s="98"/>
      <c r="F22" s="98"/>
      <c r="G22" s="98"/>
      <c r="H22" s="98"/>
    </row>
  </sheetData>
  <mergeCells count="13">
    <mergeCell ref="C18:D18"/>
    <mergeCell ref="E18:F18"/>
    <mergeCell ref="G18:H18"/>
    <mergeCell ref="B21:H21"/>
    <mergeCell ref="B22:H22"/>
    <mergeCell ref="C17:D17"/>
    <mergeCell ref="E17:F17"/>
    <mergeCell ref="G17:H17"/>
    <mergeCell ref="B2:E2"/>
    <mergeCell ref="F2:G2"/>
    <mergeCell ref="B4:B5"/>
    <mergeCell ref="C4:E4"/>
    <mergeCell ref="F4:H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H23"/>
  <sheetViews>
    <sheetView workbookViewId="0">
      <selection activeCell="G19" sqref="G19:H19"/>
    </sheetView>
  </sheetViews>
  <sheetFormatPr defaultRowHeight="15"/>
  <cols>
    <col min="1" max="1" width="2.5703125" customWidth="1"/>
    <col min="2" max="2" width="18" customWidth="1"/>
    <col min="3" max="3" width="15" customWidth="1"/>
    <col min="4" max="4" width="14.28515625" customWidth="1"/>
    <col min="5" max="5" width="6.42578125" customWidth="1"/>
    <col min="6" max="6" width="16.85546875" customWidth="1"/>
    <col min="7" max="7" width="14" customWidth="1"/>
    <col min="8" max="8" width="17" customWidth="1"/>
  </cols>
  <sheetData>
    <row r="2" spans="2:8" ht="15.75" thickBot="1"/>
    <row r="3" spans="2:8" ht="24.75" customHeight="1" thickBot="1">
      <c r="B3" s="80" t="s">
        <v>11</v>
      </c>
      <c r="C3" s="81"/>
      <c r="D3" s="81"/>
      <c r="E3" s="82"/>
      <c r="F3" s="78" t="s">
        <v>35</v>
      </c>
      <c r="G3" s="79"/>
      <c r="H3" s="6"/>
    </row>
    <row r="4" spans="2:8" ht="15.75" thickBot="1">
      <c r="B4" s="1"/>
      <c r="C4" s="1"/>
      <c r="D4" s="1"/>
      <c r="E4" s="1"/>
      <c r="F4" s="1"/>
      <c r="G4" s="1"/>
      <c r="H4" s="1"/>
    </row>
    <row r="5" spans="2:8">
      <c r="B5" s="90" t="s">
        <v>10</v>
      </c>
      <c r="C5" s="88" t="s">
        <v>1</v>
      </c>
      <c r="D5" s="88"/>
      <c r="E5" s="88"/>
      <c r="F5" s="88" t="s">
        <v>2</v>
      </c>
      <c r="G5" s="88"/>
      <c r="H5" s="89"/>
    </row>
    <row r="6" spans="2:8">
      <c r="B6" s="91"/>
      <c r="C6" s="42" t="s">
        <v>16</v>
      </c>
      <c r="D6" s="42" t="s">
        <v>17</v>
      </c>
      <c r="E6" s="42" t="s">
        <v>3</v>
      </c>
      <c r="F6" s="42" t="s">
        <v>16</v>
      </c>
      <c r="G6" s="42" t="s">
        <v>17</v>
      </c>
      <c r="H6" s="43" t="s">
        <v>3</v>
      </c>
    </row>
    <row r="7" spans="2:8" ht="21" customHeight="1">
      <c r="B7" s="14" t="s">
        <v>4</v>
      </c>
      <c r="C7" s="26">
        <v>720000</v>
      </c>
      <c r="D7" s="28">
        <v>326768</v>
      </c>
      <c r="E7" s="16">
        <f>D7/C7</f>
        <v>0.45384444444444444</v>
      </c>
      <c r="F7" s="30">
        <f>'MAY-25'!F6+'JUNE-25'!C7</f>
        <v>5440000</v>
      </c>
      <c r="G7" s="28">
        <f>'MAY-25'!G6+'JUNE-25'!D7</f>
        <v>2353142.88</v>
      </c>
      <c r="H7" s="17">
        <f>G7/F7</f>
        <v>0.43256302941176467</v>
      </c>
    </row>
    <row r="8" spans="2:8" ht="21" customHeight="1" thickBot="1">
      <c r="B8" s="15" t="s">
        <v>5</v>
      </c>
      <c r="C8" s="27">
        <v>400000</v>
      </c>
      <c r="D8" s="29">
        <v>320832</v>
      </c>
      <c r="E8" s="16">
        <f>D8/C8</f>
        <v>0.80208000000000002</v>
      </c>
      <c r="F8" s="31">
        <f>'MAY-25'!F7+'JUNE-25'!C8</f>
        <v>2037000</v>
      </c>
      <c r="G8" s="29">
        <f>'MAY-25'!G7+'JUNE-25'!D8</f>
        <v>1335109</v>
      </c>
      <c r="H8" s="17">
        <f>G8/F8</f>
        <v>0.65542906234658815</v>
      </c>
    </row>
    <row r="9" spans="2:8">
      <c r="B9" s="1"/>
      <c r="C9" s="2"/>
      <c r="D9" s="2"/>
      <c r="E9" s="2"/>
      <c r="F9" s="2"/>
      <c r="G9" s="2"/>
      <c r="H9" s="2"/>
    </row>
    <row r="10" spans="2:8">
      <c r="B10" s="1"/>
      <c r="C10" s="2"/>
      <c r="D10" s="2"/>
      <c r="E10" s="2"/>
      <c r="F10" s="2"/>
      <c r="G10" s="2"/>
      <c r="H10" s="2"/>
    </row>
    <row r="11" spans="2:8">
      <c r="B11" s="1"/>
      <c r="C11" s="2"/>
      <c r="D11" s="2"/>
      <c r="E11" s="2"/>
      <c r="F11" s="2"/>
      <c r="G11" s="2"/>
      <c r="H11" s="2"/>
    </row>
    <row r="12" spans="2:8">
      <c r="B12" s="1"/>
      <c r="C12" s="2"/>
      <c r="D12" s="2"/>
      <c r="E12" s="2"/>
      <c r="F12" s="2"/>
      <c r="G12" s="2"/>
      <c r="H12" s="2"/>
    </row>
    <row r="13" spans="2:8">
      <c r="B13" s="1"/>
      <c r="C13" s="2"/>
      <c r="D13" s="2"/>
      <c r="E13" s="2"/>
      <c r="F13" s="2"/>
      <c r="G13" s="2"/>
      <c r="H13" s="2"/>
    </row>
    <row r="14" spans="2:8">
      <c r="B14" s="1"/>
      <c r="C14" s="2"/>
      <c r="D14" s="2"/>
      <c r="E14" s="2"/>
      <c r="F14" s="2"/>
      <c r="G14" s="2"/>
      <c r="H14" s="2"/>
    </row>
    <row r="15" spans="2:8">
      <c r="B15" s="1"/>
      <c r="C15" s="2"/>
      <c r="D15" s="2"/>
      <c r="E15" s="2"/>
      <c r="F15" s="2"/>
      <c r="G15" s="2"/>
      <c r="H15" s="2"/>
    </row>
    <row r="16" spans="2:8" ht="27.75" customHeight="1" thickBot="1">
      <c r="B16" s="1"/>
      <c r="C16" s="1"/>
      <c r="D16" s="1"/>
      <c r="E16" s="1"/>
      <c r="F16" s="1"/>
      <c r="G16" s="1"/>
      <c r="H16" s="1"/>
    </row>
    <row r="17" spans="2:8">
      <c r="B17" s="8" t="s">
        <v>9</v>
      </c>
      <c r="C17" s="9"/>
      <c r="D17" s="9"/>
      <c r="E17" s="9"/>
      <c r="F17" s="9"/>
      <c r="G17" s="9"/>
      <c r="H17" s="10"/>
    </row>
    <row r="18" spans="2:8">
      <c r="B18" s="11" t="s">
        <v>6</v>
      </c>
      <c r="C18" s="86" t="s">
        <v>19</v>
      </c>
      <c r="D18" s="86"/>
      <c r="E18" s="86" t="s">
        <v>7</v>
      </c>
      <c r="F18" s="86"/>
      <c r="G18" s="86" t="s">
        <v>8</v>
      </c>
      <c r="H18" s="87"/>
    </row>
    <row r="19" spans="2:8" ht="22.5" customHeight="1" thickBot="1">
      <c r="B19" s="39">
        <v>55</v>
      </c>
      <c r="C19" s="83">
        <v>7</v>
      </c>
      <c r="D19" s="84"/>
      <c r="E19" s="83">
        <f>B19+C19</f>
        <v>62</v>
      </c>
      <c r="F19" s="84"/>
      <c r="G19" s="83">
        <v>3</v>
      </c>
      <c r="H19" s="85"/>
    </row>
    <row r="20" spans="2:8">
      <c r="B20" s="1"/>
      <c r="C20" s="1"/>
      <c r="D20" s="1"/>
      <c r="E20" s="1"/>
      <c r="F20" s="1"/>
      <c r="G20" s="1"/>
      <c r="H20" s="1"/>
    </row>
    <row r="21" spans="2:8">
      <c r="B21" s="99" t="s">
        <v>20</v>
      </c>
      <c r="C21" s="99"/>
      <c r="D21" s="99"/>
      <c r="E21" s="99"/>
      <c r="F21" s="99"/>
      <c r="G21" s="99"/>
      <c r="H21" s="99"/>
    </row>
    <row r="22" spans="2:8">
      <c r="B22" s="98" t="s">
        <v>32</v>
      </c>
      <c r="C22" s="98"/>
      <c r="D22" s="98"/>
      <c r="E22" s="98"/>
      <c r="F22" s="98"/>
      <c r="G22" s="98"/>
      <c r="H22" s="98"/>
    </row>
    <row r="23" spans="2:8">
      <c r="B23" s="98"/>
      <c r="C23" s="98"/>
      <c r="D23" s="98"/>
      <c r="E23" s="98"/>
      <c r="F23" s="98"/>
      <c r="G23" s="98"/>
      <c r="H23" s="98"/>
    </row>
  </sheetData>
  <mergeCells count="14">
    <mergeCell ref="B3:E3"/>
    <mergeCell ref="F3:G3"/>
    <mergeCell ref="B5:B6"/>
    <mergeCell ref="C5:E5"/>
    <mergeCell ref="F5:H5"/>
    <mergeCell ref="C19:D19"/>
    <mergeCell ref="E19:F19"/>
    <mergeCell ref="G19:H19"/>
    <mergeCell ref="B23:H23"/>
    <mergeCell ref="C18:D18"/>
    <mergeCell ref="E18:F18"/>
    <mergeCell ref="G18:H18"/>
    <mergeCell ref="B21:H21"/>
    <mergeCell ref="B22:H2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1:H22"/>
  <sheetViews>
    <sheetView workbookViewId="0">
      <selection activeCell="F6" sqref="F6"/>
    </sheetView>
  </sheetViews>
  <sheetFormatPr defaultRowHeight="15"/>
  <cols>
    <col min="1" max="1" width="2.5703125" customWidth="1"/>
    <col min="2" max="2" width="12.85546875" customWidth="1"/>
    <col min="3" max="3" width="17" customWidth="1"/>
    <col min="4" max="4" width="17.42578125" customWidth="1"/>
    <col min="5" max="5" width="9.140625" customWidth="1"/>
    <col min="6" max="6" width="20.5703125" customWidth="1"/>
    <col min="7" max="7" width="15.7109375" customWidth="1"/>
    <col min="8" max="8" width="11.85546875" customWidth="1"/>
  </cols>
  <sheetData>
    <row r="1" spans="2:8" ht="15.75" thickBot="1"/>
    <row r="2" spans="2:8" ht="22.5" customHeight="1" thickBot="1">
      <c r="B2" s="80" t="s">
        <v>11</v>
      </c>
      <c r="C2" s="81"/>
      <c r="D2" s="81"/>
      <c r="E2" s="82"/>
      <c r="F2" s="78" t="s">
        <v>36</v>
      </c>
      <c r="G2" s="79"/>
      <c r="H2" s="6"/>
    </row>
    <row r="3" spans="2:8" ht="9" customHeight="1" thickBot="1">
      <c r="B3" s="1"/>
      <c r="C3" s="1"/>
      <c r="D3" s="1"/>
      <c r="E3" s="1"/>
      <c r="F3" s="1"/>
      <c r="G3" s="1"/>
      <c r="H3" s="1"/>
    </row>
    <row r="4" spans="2:8">
      <c r="B4" s="90" t="s">
        <v>10</v>
      </c>
      <c r="C4" s="88" t="s">
        <v>1</v>
      </c>
      <c r="D4" s="88"/>
      <c r="E4" s="88"/>
      <c r="F4" s="88" t="s">
        <v>2</v>
      </c>
      <c r="G4" s="88"/>
      <c r="H4" s="89"/>
    </row>
    <row r="5" spans="2:8">
      <c r="B5" s="91"/>
      <c r="C5" s="44" t="s">
        <v>16</v>
      </c>
      <c r="D5" s="44" t="s">
        <v>17</v>
      </c>
      <c r="E5" s="44" t="s">
        <v>3</v>
      </c>
      <c r="F5" s="44" t="s">
        <v>16</v>
      </c>
      <c r="G5" s="44" t="s">
        <v>17</v>
      </c>
      <c r="H5" s="45" t="s">
        <v>3</v>
      </c>
    </row>
    <row r="6" spans="2:8" ht="17.25" customHeight="1">
      <c r="B6" s="14" t="s">
        <v>4</v>
      </c>
      <c r="C6" s="26">
        <v>390000</v>
      </c>
      <c r="D6" s="28">
        <v>55407</v>
      </c>
      <c r="E6" s="16">
        <f>D6/C6</f>
        <v>0.14206923076923078</v>
      </c>
      <c r="F6" s="30">
        <f>'JUNE-25'!F7+'JULY-25'!C6</f>
        <v>5830000</v>
      </c>
      <c r="G6" s="28">
        <f>'JUNE-25'!G7+'JULY-25'!D6</f>
        <v>2408549.88</v>
      </c>
      <c r="H6" s="17">
        <f>G6/F6</f>
        <v>0.41313033962264151</v>
      </c>
    </row>
    <row r="7" spans="2:8" ht="20.25" customHeight="1" thickBot="1">
      <c r="B7" s="15" t="s">
        <v>5</v>
      </c>
      <c r="C7" s="27">
        <v>295000</v>
      </c>
      <c r="D7" s="29">
        <v>174491</v>
      </c>
      <c r="E7" s="16">
        <f>D7/C7</f>
        <v>0.59149491525423725</v>
      </c>
      <c r="F7" s="31">
        <f>'JUNE-25'!F8+'JULY-25'!C7</f>
        <v>2332000</v>
      </c>
      <c r="G7" s="29">
        <f>'JUNE-25'!G8+'JULY-25'!D7</f>
        <v>1509600</v>
      </c>
      <c r="H7" s="17">
        <f>G7/F7</f>
        <v>0.64734133790737569</v>
      </c>
    </row>
    <row r="8" spans="2:8">
      <c r="B8" s="1"/>
      <c r="C8" s="2"/>
      <c r="D8" s="2"/>
      <c r="E8" s="2"/>
      <c r="F8" s="2"/>
      <c r="G8" s="2"/>
      <c r="H8" s="2"/>
    </row>
    <row r="9" spans="2:8">
      <c r="B9" s="1"/>
      <c r="C9" s="2"/>
      <c r="D9" s="2"/>
      <c r="E9" s="2"/>
      <c r="F9" s="2"/>
      <c r="G9" s="2"/>
      <c r="H9" s="2"/>
    </row>
    <row r="10" spans="2:8">
      <c r="B10" s="1"/>
      <c r="C10" s="2"/>
      <c r="D10" s="2"/>
      <c r="E10" s="2"/>
      <c r="F10" s="2"/>
      <c r="G10" s="2"/>
      <c r="H10" s="2"/>
    </row>
    <row r="11" spans="2:8">
      <c r="B11" s="1"/>
      <c r="C11" s="2"/>
      <c r="D11" s="2"/>
      <c r="E11" s="2"/>
      <c r="F11" s="2"/>
      <c r="G11" s="2"/>
      <c r="H11" s="2"/>
    </row>
    <row r="12" spans="2:8">
      <c r="B12" s="1"/>
      <c r="C12" s="2"/>
      <c r="D12" s="2"/>
      <c r="E12" s="2"/>
      <c r="F12" s="2"/>
      <c r="G12" s="2"/>
      <c r="H12" s="2"/>
    </row>
    <row r="13" spans="2:8">
      <c r="B13" s="1"/>
      <c r="C13" s="2"/>
      <c r="D13" s="2"/>
      <c r="E13" s="2"/>
      <c r="F13" s="2"/>
      <c r="G13" s="2"/>
      <c r="H13" s="2"/>
    </row>
    <row r="14" spans="2:8">
      <c r="B14" s="1"/>
      <c r="C14" s="2"/>
      <c r="D14" s="2"/>
      <c r="E14" s="2"/>
      <c r="F14" s="2"/>
      <c r="G14" s="2"/>
      <c r="H14" s="2"/>
    </row>
    <row r="15" spans="2:8" ht="21.75" customHeight="1" thickBot="1">
      <c r="B15" s="1"/>
      <c r="C15" s="1"/>
      <c r="D15" s="1"/>
      <c r="E15" s="1"/>
      <c r="F15" s="1"/>
      <c r="G15" s="1"/>
      <c r="H15" s="1"/>
    </row>
    <row r="16" spans="2:8">
      <c r="B16" s="8" t="s">
        <v>9</v>
      </c>
      <c r="C16" s="9"/>
      <c r="D16" s="9"/>
      <c r="E16" s="9"/>
      <c r="F16" s="9"/>
      <c r="G16" s="9"/>
      <c r="H16" s="10"/>
    </row>
    <row r="17" spans="2:8" ht="20.25" customHeight="1">
      <c r="B17" s="11" t="s">
        <v>6</v>
      </c>
      <c r="C17" s="86" t="s">
        <v>19</v>
      </c>
      <c r="D17" s="86"/>
      <c r="E17" s="86" t="s">
        <v>7</v>
      </c>
      <c r="F17" s="86"/>
      <c r="G17" s="86" t="s">
        <v>8</v>
      </c>
      <c r="H17" s="87"/>
    </row>
    <row r="18" spans="2:8" ht="20.25" customHeight="1" thickBot="1">
      <c r="B18" s="39">
        <v>62</v>
      </c>
      <c r="C18" s="83">
        <v>3</v>
      </c>
      <c r="D18" s="84"/>
      <c r="E18" s="83">
        <f>B18+C18</f>
        <v>65</v>
      </c>
      <c r="F18" s="84"/>
      <c r="G18" s="83">
        <v>0</v>
      </c>
      <c r="H18" s="85"/>
    </row>
    <row r="19" spans="2:8">
      <c r="B19" s="1"/>
      <c r="C19" s="1"/>
      <c r="D19" s="1"/>
      <c r="E19" s="1"/>
      <c r="F19" s="1"/>
      <c r="G19" s="1"/>
      <c r="H19" s="1"/>
    </row>
    <row r="20" spans="2:8">
      <c r="B20" s="99" t="s">
        <v>20</v>
      </c>
      <c r="C20" s="99"/>
      <c r="D20" s="99"/>
      <c r="E20" s="99"/>
      <c r="F20" s="99"/>
      <c r="G20" s="99"/>
      <c r="H20" s="99"/>
    </row>
    <row r="21" spans="2:8">
      <c r="B21" s="98" t="s">
        <v>37</v>
      </c>
      <c r="C21" s="98"/>
      <c r="D21" s="98"/>
      <c r="E21" s="98"/>
      <c r="F21" s="98"/>
      <c r="G21" s="98"/>
      <c r="H21" s="98"/>
    </row>
    <row r="22" spans="2:8">
      <c r="B22" s="98"/>
      <c r="C22" s="98"/>
      <c r="D22" s="98"/>
      <c r="E22" s="98"/>
      <c r="F22" s="98"/>
      <c r="G22" s="98"/>
      <c r="H22" s="98"/>
    </row>
  </sheetData>
  <mergeCells count="14">
    <mergeCell ref="B20:H20"/>
    <mergeCell ref="B21:H21"/>
    <mergeCell ref="B22:H22"/>
    <mergeCell ref="C17:D17"/>
    <mergeCell ref="E17:F17"/>
    <mergeCell ref="G17:H17"/>
    <mergeCell ref="C18:D18"/>
    <mergeCell ref="E18:F18"/>
    <mergeCell ref="G18:H18"/>
    <mergeCell ref="B2:E2"/>
    <mergeCell ref="F2:G2"/>
    <mergeCell ref="B4:B5"/>
    <mergeCell ref="C4:E4"/>
    <mergeCell ref="F4:H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B1:H29"/>
  <sheetViews>
    <sheetView showGridLines="0" topLeftCell="A10" workbookViewId="0">
      <selection activeCell="B23" sqref="B23:C24"/>
    </sheetView>
  </sheetViews>
  <sheetFormatPr defaultRowHeight="15"/>
  <cols>
    <col min="1" max="1" width="2.5703125" customWidth="1"/>
    <col min="2" max="2" width="12.85546875" customWidth="1"/>
    <col min="3" max="3" width="25.5703125" customWidth="1"/>
    <col min="4" max="4" width="14.140625" customWidth="1"/>
    <col min="5" max="5" width="6.5703125" customWidth="1"/>
    <col min="6" max="6" width="17.42578125" customWidth="1"/>
    <col min="7" max="7" width="19" customWidth="1"/>
    <col min="8" max="8" width="19.28515625" customWidth="1"/>
  </cols>
  <sheetData>
    <row r="1" spans="2:8" ht="15.75" thickBot="1"/>
    <row r="2" spans="2:8" ht="22.5" customHeight="1" thickBot="1">
      <c r="B2" s="80" t="s">
        <v>11</v>
      </c>
      <c r="C2" s="81"/>
      <c r="D2" s="81"/>
      <c r="E2" s="82"/>
      <c r="F2" s="78" t="s">
        <v>38</v>
      </c>
      <c r="G2" s="79"/>
      <c r="H2" s="6"/>
    </row>
    <row r="3" spans="2:8" ht="9" customHeight="1" thickBot="1">
      <c r="B3" s="1"/>
      <c r="C3" s="1"/>
      <c r="D3" s="1"/>
      <c r="E3" s="1"/>
      <c r="F3" s="1"/>
      <c r="G3" s="1"/>
      <c r="H3" s="1"/>
    </row>
    <row r="4" spans="2:8">
      <c r="B4" s="90" t="s">
        <v>10</v>
      </c>
      <c r="C4" s="88" t="s">
        <v>1</v>
      </c>
      <c r="D4" s="88"/>
      <c r="E4" s="88"/>
      <c r="F4" s="88" t="s">
        <v>2</v>
      </c>
      <c r="G4" s="88"/>
      <c r="H4" s="89"/>
    </row>
    <row r="5" spans="2:8">
      <c r="B5" s="91"/>
      <c r="C5" s="46" t="s">
        <v>16</v>
      </c>
      <c r="D5" s="46" t="s">
        <v>17</v>
      </c>
      <c r="E5" s="46" t="s">
        <v>3</v>
      </c>
      <c r="F5" s="46" t="s">
        <v>16</v>
      </c>
      <c r="G5" s="46" t="s">
        <v>17</v>
      </c>
      <c r="H5" s="47" t="s">
        <v>3</v>
      </c>
    </row>
    <row r="6" spans="2:8" ht="17.25" customHeight="1">
      <c r="B6" s="14" t="s">
        <v>4</v>
      </c>
      <c r="C6" s="26">
        <v>666500</v>
      </c>
      <c r="D6" s="28">
        <v>439520</v>
      </c>
      <c r="E6" s="16">
        <f>D6/C6</f>
        <v>0.65944486121530388</v>
      </c>
      <c r="F6" s="30">
        <v>6496500</v>
      </c>
      <c r="G6" s="28">
        <f>'JULY-25'!G6+'AUG-25'!D6</f>
        <v>2848069.88</v>
      </c>
      <c r="H6" s="17">
        <f>G6/F6</f>
        <v>0.43840065881628565</v>
      </c>
    </row>
    <row r="7" spans="2:8" ht="20.25" customHeight="1" thickBot="1">
      <c r="B7" s="15" t="s">
        <v>5</v>
      </c>
      <c r="C7" s="27">
        <v>697000</v>
      </c>
      <c r="D7" s="29">
        <v>167829</v>
      </c>
      <c r="E7" s="16">
        <f>D7/C7</f>
        <v>0.24078766140602584</v>
      </c>
      <c r="F7" s="31">
        <f>'JULY-25'!F7+'AUG-25'!C7</f>
        <v>3029000</v>
      </c>
      <c r="G7" s="29">
        <f>'JULY-25'!G7+'AUG-25'!D7</f>
        <v>1677429</v>
      </c>
      <c r="H7" s="17">
        <f>G7/F7</f>
        <v>0.55378969957081547</v>
      </c>
    </row>
    <row r="8" spans="2:8">
      <c r="B8" s="1"/>
      <c r="C8" s="2"/>
      <c r="D8" s="2"/>
      <c r="E8" s="2"/>
      <c r="F8" s="2"/>
      <c r="G8" s="2"/>
      <c r="H8" s="2"/>
    </row>
    <row r="9" spans="2:8">
      <c r="B9" s="1"/>
      <c r="C9" s="2"/>
      <c r="D9" s="2"/>
      <c r="E9" s="2"/>
      <c r="F9" s="2"/>
      <c r="G9" s="2"/>
      <c r="H9" s="2"/>
    </row>
    <row r="10" spans="2:8">
      <c r="B10" s="1"/>
      <c r="C10" s="2"/>
      <c r="D10" s="2"/>
      <c r="E10" s="2"/>
      <c r="F10" s="2"/>
      <c r="G10" s="2"/>
      <c r="H10" s="2"/>
    </row>
    <row r="11" spans="2:8">
      <c r="B11" s="1"/>
      <c r="C11" s="2"/>
      <c r="D11" s="2"/>
      <c r="E11" s="2"/>
      <c r="F11" s="2"/>
      <c r="G11" s="2"/>
      <c r="H11" s="2"/>
    </row>
    <row r="12" spans="2:8">
      <c r="B12" s="1"/>
      <c r="C12" s="2"/>
      <c r="D12" s="2"/>
      <c r="E12" s="2"/>
      <c r="F12" s="2"/>
      <c r="G12" s="2"/>
      <c r="H12" s="2"/>
    </row>
    <row r="13" spans="2:8">
      <c r="B13" s="1"/>
      <c r="C13" s="2"/>
      <c r="D13" s="2"/>
      <c r="E13" s="2"/>
      <c r="F13" s="2"/>
      <c r="G13" s="2"/>
      <c r="H13" s="2"/>
    </row>
    <row r="14" spans="2:8">
      <c r="B14" s="1"/>
      <c r="C14" s="2"/>
      <c r="D14" s="2"/>
      <c r="E14" s="2"/>
      <c r="F14" s="2"/>
      <c r="G14" s="2"/>
      <c r="H14" s="2"/>
    </row>
    <row r="15" spans="2:8" ht="21.75" customHeight="1" thickBot="1">
      <c r="B15" s="1"/>
      <c r="C15" s="1"/>
      <c r="D15" s="1"/>
      <c r="E15" s="1"/>
      <c r="F15" s="1"/>
      <c r="G15" s="1"/>
      <c r="H15" s="1"/>
    </row>
    <row r="16" spans="2:8">
      <c r="B16" s="8" t="s">
        <v>9</v>
      </c>
      <c r="C16" s="9"/>
      <c r="D16" s="9"/>
      <c r="E16" s="9"/>
      <c r="F16" s="9"/>
      <c r="G16" s="9"/>
      <c r="H16" s="10"/>
    </row>
    <row r="17" spans="2:8" ht="20.25" customHeight="1">
      <c r="B17" s="11" t="s">
        <v>6</v>
      </c>
      <c r="C17" s="86" t="s">
        <v>19</v>
      </c>
      <c r="D17" s="86"/>
      <c r="E17" s="86" t="s">
        <v>7</v>
      </c>
      <c r="F17" s="86"/>
      <c r="G17" s="86" t="s">
        <v>8</v>
      </c>
      <c r="H17" s="87"/>
    </row>
    <row r="18" spans="2:8" ht="20.25" customHeight="1" thickBot="1">
      <c r="B18" s="39">
        <v>65</v>
      </c>
      <c r="C18" s="83">
        <v>4</v>
      </c>
      <c r="D18" s="84"/>
      <c r="E18" s="83">
        <f>B18+C18</f>
        <v>69</v>
      </c>
      <c r="F18" s="84"/>
      <c r="G18" s="83">
        <v>0</v>
      </c>
      <c r="H18" s="85"/>
    </row>
    <row r="19" spans="2:8">
      <c r="B19" s="1"/>
      <c r="C19" s="1"/>
      <c r="D19" s="1"/>
      <c r="E19" s="1"/>
      <c r="F19" s="1"/>
      <c r="G19" s="1"/>
      <c r="H19" s="1"/>
    </row>
    <row r="20" spans="2:8">
      <c r="B20" s="99" t="s">
        <v>20</v>
      </c>
      <c r="C20" s="99"/>
      <c r="D20" s="99"/>
      <c r="E20" s="99"/>
      <c r="F20" s="99"/>
      <c r="G20" s="99"/>
      <c r="H20" s="99"/>
    </row>
    <row r="21" spans="2:8">
      <c r="B21" s="98" t="s">
        <v>40</v>
      </c>
      <c r="C21" s="98"/>
      <c r="D21" s="98"/>
      <c r="E21" s="98"/>
      <c r="F21" s="98"/>
      <c r="G21" s="98"/>
      <c r="H21" s="98"/>
    </row>
    <row r="23" spans="2:8">
      <c r="B23" s="54" t="s">
        <v>42</v>
      </c>
      <c r="C23" s="54"/>
    </row>
    <row r="24" spans="2:8">
      <c r="B24" s="3" t="s">
        <v>43</v>
      </c>
      <c r="C24" s="53" t="s">
        <v>44</v>
      </c>
    </row>
    <row r="25" spans="2:8">
      <c r="B25" s="3">
        <v>1</v>
      </c>
      <c r="C25" s="3" t="s">
        <v>45</v>
      </c>
    </row>
    <row r="26" spans="2:8">
      <c r="B26" s="3">
        <v>2</v>
      </c>
      <c r="C26" s="3" t="s">
        <v>46</v>
      </c>
    </row>
    <row r="27" spans="2:8">
      <c r="B27" s="3">
        <v>3</v>
      </c>
      <c r="C27" s="3" t="s">
        <v>47</v>
      </c>
    </row>
    <row r="28" spans="2:8">
      <c r="B28" s="3">
        <v>4</v>
      </c>
      <c r="C28" s="3" t="s">
        <v>48</v>
      </c>
    </row>
    <row r="29" spans="2:8">
      <c r="B29" s="3"/>
      <c r="C29" s="3"/>
    </row>
  </sheetData>
  <mergeCells count="13">
    <mergeCell ref="B2:E2"/>
    <mergeCell ref="F2:G2"/>
    <mergeCell ref="B4:B5"/>
    <mergeCell ref="C4:E4"/>
    <mergeCell ref="F4:H4"/>
    <mergeCell ref="B20:H20"/>
    <mergeCell ref="B21:H21"/>
    <mergeCell ref="C17:D17"/>
    <mergeCell ref="E17:F17"/>
    <mergeCell ref="G17:H17"/>
    <mergeCell ref="C18:D18"/>
    <mergeCell ref="E18:F18"/>
    <mergeCell ref="G18:H18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"/>
  <sheetViews>
    <sheetView workbookViewId="0">
      <selection activeCell="I19" sqref="I19"/>
    </sheetView>
  </sheetViews>
  <sheetFormatPr defaultRowHeight="15"/>
  <cols>
    <col min="1" max="1" width="12.85546875" customWidth="1"/>
    <col min="2" max="2" width="25.7109375" customWidth="1"/>
    <col min="3" max="3" width="12.28515625" customWidth="1"/>
    <col min="5" max="5" width="16.140625" customWidth="1"/>
    <col min="6" max="6" width="17.5703125" customWidth="1"/>
    <col min="7" max="7" width="16.7109375" customWidth="1"/>
  </cols>
  <sheetData>
    <row r="1" spans="1:7" ht="19.5" thickBot="1">
      <c r="A1" s="80" t="s">
        <v>11</v>
      </c>
      <c r="B1" s="81"/>
      <c r="C1" s="81"/>
      <c r="D1" s="82"/>
      <c r="E1" s="78" t="s">
        <v>41</v>
      </c>
      <c r="F1" s="79"/>
      <c r="G1" s="6"/>
    </row>
    <row r="2" spans="1:7" ht="15.75" thickBot="1">
      <c r="A2" s="1"/>
      <c r="B2" s="1"/>
      <c r="C2" s="1"/>
      <c r="D2" s="1"/>
      <c r="E2" s="1"/>
      <c r="F2" s="1"/>
      <c r="G2" s="1"/>
    </row>
    <row r="3" spans="1:7">
      <c r="A3" s="90" t="s">
        <v>10</v>
      </c>
      <c r="B3" s="88" t="s">
        <v>1</v>
      </c>
      <c r="C3" s="88"/>
      <c r="D3" s="88"/>
      <c r="E3" s="88" t="s">
        <v>2</v>
      </c>
      <c r="F3" s="88"/>
      <c r="G3" s="89"/>
    </row>
    <row r="4" spans="1:7">
      <c r="A4" s="91"/>
      <c r="B4" s="51" t="s">
        <v>16</v>
      </c>
      <c r="C4" s="51" t="s">
        <v>17</v>
      </c>
      <c r="D4" s="51" t="s">
        <v>3</v>
      </c>
      <c r="E4" s="51" t="s">
        <v>16</v>
      </c>
      <c r="F4" s="51" t="s">
        <v>17</v>
      </c>
      <c r="G4" s="52" t="s">
        <v>3</v>
      </c>
    </row>
    <row r="5" spans="1:7">
      <c r="A5" s="14" t="s">
        <v>4</v>
      </c>
      <c r="B5" s="26">
        <v>594000</v>
      </c>
      <c r="C5" s="28">
        <v>285017.09999999998</v>
      </c>
      <c r="D5" s="16">
        <f>C5/B5</f>
        <v>0.47982676767676763</v>
      </c>
      <c r="E5" s="30">
        <f>'AUG-25'!F6+'SEP-25'!B5</f>
        <v>7090500</v>
      </c>
      <c r="F5" s="28">
        <f>'AUG-25'!G6+'SEP-25'!C5</f>
        <v>3133086.98</v>
      </c>
      <c r="G5" s="17">
        <f>F5/E5</f>
        <v>0.44187109230660743</v>
      </c>
    </row>
    <row r="6" spans="1:7" ht="15.75" thickBot="1">
      <c r="A6" s="15" t="s">
        <v>5</v>
      </c>
      <c r="B6" s="27">
        <v>980000</v>
      </c>
      <c r="C6" s="29">
        <v>220028</v>
      </c>
      <c r="D6" s="16">
        <f>C6/B6</f>
        <v>0.22451836734693878</v>
      </c>
      <c r="E6" s="31">
        <f>'AUG-25'!F7+'SEP-25'!B6</f>
        <v>4009000</v>
      </c>
      <c r="F6" s="29">
        <f>'AUG-25'!G7+'SEP-25'!C6</f>
        <v>1897457</v>
      </c>
      <c r="G6" s="17">
        <f>F6/E6</f>
        <v>0.47329932651534046</v>
      </c>
    </row>
    <row r="7" spans="1:7">
      <c r="A7" s="1"/>
      <c r="B7" s="2"/>
      <c r="C7" s="2"/>
      <c r="D7" s="2"/>
      <c r="E7" s="2"/>
      <c r="F7" s="2"/>
      <c r="G7" s="2"/>
    </row>
    <row r="8" spans="1:7">
      <c r="A8" s="1"/>
      <c r="B8" s="2"/>
      <c r="C8" s="2"/>
      <c r="D8" s="2"/>
      <c r="E8" s="2"/>
      <c r="F8" s="2"/>
      <c r="G8" s="2"/>
    </row>
    <row r="9" spans="1:7">
      <c r="A9" s="1"/>
      <c r="B9" s="2"/>
      <c r="C9" s="2"/>
      <c r="D9" s="2"/>
      <c r="E9" s="2"/>
      <c r="F9" s="2"/>
      <c r="G9" s="2"/>
    </row>
    <row r="10" spans="1:7">
      <c r="A10" s="1"/>
      <c r="B10" s="2"/>
      <c r="C10" s="2"/>
      <c r="D10" s="2"/>
      <c r="E10" s="2"/>
      <c r="F10" s="2"/>
      <c r="G10" s="2"/>
    </row>
    <row r="11" spans="1:7">
      <c r="A11" s="1"/>
      <c r="B11" s="2"/>
      <c r="C11" s="2"/>
      <c r="D11" s="2"/>
      <c r="E11" s="2"/>
      <c r="F11" s="2"/>
      <c r="G11" s="2"/>
    </row>
    <row r="12" spans="1:7">
      <c r="A12" s="1"/>
      <c r="B12" s="2"/>
      <c r="C12" s="2"/>
      <c r="D12" s="2"/>
      <c r="E12" s="2"/>
      <c r="F12" s="2"/>
      <c r="G12" s="2"/>
    </row>
    <row r="13" spans="1:7">
      <c r="A13" s="1"/>
      <c r="B13" s="2"/>
      <c r="C13" s="2"/>
      <c r="D13" s="2"/>
      <c r="E13" s="2"/>
      <c r="F13" s="2"/>
      <c r="G13" s="2"/>
    </row>
    <row r="14" spans="1:7" ht="15.75" thickBot="1">
      <c r="A14" s="1"/>
      <c r="B14" s="1"/>
      <c r="C14" s="1"/>
      <c r="D14" s="1"/>
      <c r="E14" s="1"/>
      <c r="F14" s="1"/>
      <c r="G14" s="1"/>
    </row>
    <row r="15" spans="1:7">
      <c r="A15" s="8" t="s">
        <v>9</v>
      </c>
      <c r="B15" s="9"/>
      <c r="C15" s="9"/>
      <c r="D15" s="9"/>
      <c r="E15" s="9"/>
      <c r="F15" s="9"/>
      <c r="G15" s="10"/>
    </row>
    <row r="16" spans="1:7">
      <c r="A16" s="11" t="s">
        <v>6</v>
      </c>
      <c r="B16" s="86" t="s">
        <v>19</v>
      </c>
      <c r="C16" s="86"/>
      <c r="D16" s="86" t="s">
        <v>7</v>
      </c>
      <c r="E16" s="86"/>
      <c r="F16" s="86" t="s">
        <v>8</v>
      </c>
      <c r="G16" s="87"/>
    </row>
    <row r="17" spans="1:7" ht="15.75" thickBot="1">
      <c r="A17" s="39">
        <v>69</v>
      </c>
      <c r="B17" s="83">
        <v>2</v>
      </c>
      <c r="C17" s="84"/>
      <c r="D17" s="83">
        <f>A17+B17</f>
        <v>71</v>
      </c>
      <c r="E17" s="84"/>
      <c r="F17" s="83">
        <v>3</v>
      </c>
      <c r="G17" s="85"/>
    </row>
    <row r="18" spans="1:7">
      <c r="A18" s="1"/>
      <c r="B18" s="1"/>
      <c r="C18" s="1"/>
      <c r="D18" s="1"/>
      <c r="E18" s="1"/>
      <c r="F18" s="1"/>
      <c r="G18" s="1"/>
    </row>
    <row r="19" spans="1:7">
      <c r="A19" s="99" t="s">
        <v>20</v>
      </c>
      <c r="B19" s="99"/>
      <c r="C19" s="99"/>
      <c r="D19" s="99"/>
      <c r="E19" s="99"/>
      <c r="F19" s="99"/>
      <c r="G19" s="99"/>
    </row>
    <row r="20" spans="1:7">
      <c r="A20" s="98" t="s">
        <v>49</v>
      </c>
      <c r="B20" s="98"/>
      <c r="C20" s="98"/>
      <c r="D20" s="98"/>
      <c r="E20" s="98"/>
      <c r="F20" s="98"/>
      <c r="G20" s="98"/>
    </row>
    <row r="21" spans="1:7">
      <c r="A21" s="98" t="s">
        <v>52</v>
      </c>
      <c r="B21" s="98"/>
      <c r="C21" s="98"/>
      <c r="D21" s="98"/>
      <c r="E21" s="98"/>
      <c r="F21" s="98"/>
      <c r="G21" s="98"/>
    </row>
    <row r="23" spans="1:7">
      <c r="A23" s="100" t="s">
        <v>42</v>
      </c>
      <c r="B23" s="100"/>
    </row>
    <row r="24" spans="1:7">
      <c r="A24" s="53" t="s">
        <v>43</v>
      </c>
      <c r="B24" s="53" t="s">
        <v>44</v>
      </c>
    </row>
    <row r="25" spans="1:7">
      <c r="A25" s="53">
        <v>1</v>
      </c>
      <c r="B25" s="3" t="s">
        <v>50</v>
      </c>
    </row>
    <row r="26" spans="1:7">
      <c r="A26" s="53">
        <v>2</v>
      </c>
      <c r="B26" s="3" t="s">
        <v>51</v>
      </c>
    </row>
    <row r="27" spans="1:7">
      <c r="A27" s="55"/>
    </row>
  </sheetData>
  <mergeCells count="15">
    <mergeCell ref="A23:B23"/>
    <mergeCell ref="A21:G21"/>
    <mergeCell ref="A1:D1"/>
    <mergeCell ref="E1:F1"/>
    <mergeCell ref="A3:A4"/>
    <mergeCell ref="B3:D3"/>
    <mergeCell ref="E3:G3"/>
    <mergeCell ref="B16:C16"/>
    <mergeCell ref="D16:E16"/>
    <mergeCell ref="F16:G16"/>
    <mergeCell ref="B17:C17"/>
    <mergeCell ref="D17:E17"/>
    <mergeCell ref="F17:G17"/>
    <mergeCell ref="A19:G19"/>
    <mergeCell ref="A20:G20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B1:H22"/>
  <sheetViews>
    <sheetView workbookViewId="0">
      <selection activeCell="O17" sqref="O17"/>
    </sheetView>
  </sheetViews>
  <sheetFormatPr defaultRowHeight="15"/>
  <cols>
    <col min="1" max="1" width="3" customWidth="1"/>
    <col min="2" max="2" width="24" customWidth="1"/>
    <col min="3" max="3" width="18.28515625" customWidth="1"/>
    <col min="4" max="4" width="14.7109375" customWidth="1"/>
    <col min="6" max="6" width="18.7109375" customWidth="1"/>
    <col min="7" max="7" width="15" customWidth="1"/>
    <col min="8" max="8" width="20.28515625" customWidth="1"/>
  </cols>
  <sheetData>
    <row r="1" spans="2:8" ht="11.25" customHeight="1" thickBot="1"/>
    <row r="2" spans="2:8" ht="19.5" thickBot="1">
      <c r="B2" s="80" t="s">
        <v>11</v>
      </c>
      <c r="C2" s="81"/>
      <c r="D2" s="81"/>
      <c r="E2" s="82"/>
      <c r="F2" s="78" t="s">
        <v>53</v>
      </c>
      <c r="G2" s="79"/>
      <c r="H2" s="6"/>
    </row>
    <row r="3" spans="2:8" ht="15.75" thickBot="1">
      <c r="B3" s="1"/>
      <c r="C3" s="1"/>
      <c r="D3" s="1"/>
      <c r="E3" s="1"/>
      <c r="F3" s="1"/>
      <c r="G3" s="1"/>
      <c r="H3" s="1"/>
    </row>
    <row r="4" spans="2:8">
      <c r="B4" s="90" t="s">
        <v>10</v>
      </c>
      <c r="C4" s="88" t="s">
        <v>1</v>
      </c>
      <c r="D4" s="88"/>
      <c r="E4" s="88"/>
      <c r="F4" s="88" t="s">
        <v>2</v>
      </c>
      <c r="G4" s="88"/>
      <c r="H4" s="89"/>
    </row>
    <row r="5" spans="2:8">
      <c r="B5" s="91"/>
      <c r="C5" s="56" t="s">
        <v>16</v>
      </c>
      <c r="D5" s="56" t="s">
        <v>17</v>
      </c>
      <c r="E5" s="56" t="s">
        <v>3</v>
      </c>
      <c r="F5" s="56" t="s">
        <v>16</v>
      </c>
      <c r="G5" s="56" t="s">
        <v>17</v>
      </c>
      <c r="H5" s="57" t="s">
        <v>3</v>
      </c>
    </row>
    <row r="6" spans="2:8">
      <c r="B6" s="14" t="s">
        <v>4</v>
      </c>
      <c r="C6" s="26">
        <f>'[1]OCT - 25'!$C$75</f>
        <v>711000</v>
      </c>
      <c r="D6" s="30">
        <f>'[1]OCT - 25'!$D$75</f>
        <v>467760</v>
      </c>
      <c r="E6" s="16">
        <f>D6/C6</f>
        <v>0.65789029535864973</v>
      </c>
      <c r="F6" s="30">
        <f>C6+'SEP-25'!E5</f>
        <v>7801500</v>
      </c>
      <c r="G6" s="30">
        <f>D6+'SEP-25'!F5</f>
        <v>3600846.98</v>
      </c>
      <c r="H6" s="17">
        <f>G6/F6</f>
        <v>0.46155828750881239</v>
      </c>
    </row>
    <row r="7" spans="2:8" ht="15.75" thickBot="1">
      <c r="B7" s="15" t="s">
        <v>5</v>
      </c>
      <c r="C7" s="27">
        <f>'[1]OCT - 25'!$G$75</f>
        <v>1002500</v>
      </c>
      <c r="D7" s="31">
        <f>'[1]OCT - 25'!$H$75</f>
        <v>525678</v>
      </c>
      <c r="E7" s="16">
        <f>D7/C7</f>
        <v>0.52436708229426432</v>
      </c>
      <c r="F7" s="31">
        <f>C7+'SEP-25'!F6</f>
        <v>2899957</v>
      </c>
      <c r="G7" s="31">
        <f>D7+'SEP-25'!F6</f>
        <v>2423135</v>
      </c>
      <c r="H7" s="17">
        <f>G7/F7</f>
        <v>0.83557618268132938</v>
      </c>
    </row>
    <row r="8" spans="2:8">
      <c r="B8" s="1"/>
      <c r="C8" s="2"/>
      <c r="D8" s="2"/>
      <c r="E8" s="2"/>
      <c r="F8" s="2"/>
      <c r="G8" s="2"/>
      <c r="H8" s="2"/>
    </row>
    <row r="9" spans="2:8">
      <c r="B9" s="1"/>
      <c r="C9" s="2"/>
      <c r="D9" s="2"/>
      <c r="E9" s="2"/>
      <c r="F9" s="2"/>
      <c r="G9" s="2"/>
      <c r="H9" s="2"/>
    </row>
    <row r="10" spans="2:8">
      <c r="B10" s="1"/>
      <c r="C10" s="2"/>
      <c r="D10" s="2"/>
      <c r="E10" s="2"/>
      <c r="F10" s="2"/>
      <c r="G10" s="2"/>
      <c r="H10" s="2"/>
    </row>
    <row r="11" spans="2:8">
      <c r="B11" s="1"/>
      <c r="C11" s="2"/>
      <c r="D11" s="2"/>
      <c r="E11" s="2"/>
      <c r="F11" s="2"/>
      <c r="G11" s="2"/>
      <c r="H11" s="2"/>
    </row>
    <row r="12" spans="2:8">
      <c r="B12" s="1"/>
      <c r="C12" s="2"/>
      <c r="D12" s="2"/>
      <c r="E12" s="2"/>
      <c r="F12" s="2"/>
      <c r="G12" s="2"/>
      <c r="H12" s="2"/>
    </row>
    <row r="13" spans="2:8">
      <c r="B13" s="1"/>
      <c r="C13" s="2"/>
      <c r="D13" s="2"/>
      <c r="E13" s="2"/>
      <c r="F13" s="2"/>
      <c r="G13" s="2"/>
      <c r="H13" s="2"/>
    </row>
    <row r="14" spans="2:8">
      <c r="B14" s="1"/>
      <c r="C14" s="2"/>
      <c r="D14" s="2"/>
      <c r="E14" s="2"/>
      <c r="F14" s="2"/>
      <c r="G14" s="2"/>
      <c r="H14" s="2"/>
    </row>
    <row r="15" spans="2:8" ht="15.75" thickBot="1">
      <c r="B15" s="1"/>
      <c r="C15" s="1"/>
      <c r="D15" s="1"/>
      <c r="E15" s="1"/>
      <c r="F15" s="1"/>
      <c r="G15" s="1"/>
      <c r="H15" s="1"/>
    </row>
    <row r="16" spans="2:8">
      <c r="B16" s="8" t="s">
        <v>9</v>
      </c>
      <c r="C16" s="9"/>
      <c r="D16" s="9"/>
      <c r="E16" s="9"/>
      <c r="F16" s="9"/>
      <c r="G16" s="9"/>
      <c r="H16" s="10"/>
    </row>
    <row r="17" spans="2:8">
      <c r="B17" s="11" t="s">
        <v>6</v>
      </c>
      <c r="C17" s="86" t="s">
        <v>19</v>
      </c>
      <c r="D17" s="86"/>
      <c r="E17" s="86" t="s">
        <v>7</v>
      </c>
      <c r="F17" s="86"/>
      <c r="G17" s="86" t="s">
        <v>8</v>
      </c>
      <c r="H17" s="87"/>
    </row>
    <row r="18" spans="2:8" ht="15.75" thickBot="1">
      <c r="B18" s="39">
        <v>71</v>
      </c>
      <c r="C18" s="83">
        <v>2</v>
      </c>
      <c r="D18" s="84"/>
      <c r="E18" s="83">
        <f>B18+C18</f>
        <v>73</v>
      </c>
      <c r="F18" s="84"/>
      <c r="G18" s="83"/>
      <c r="H18" s="85"/>
    </row>
    <row r="19" spans="2:8">
      <c r="B19" s="1"/>
      <c r="C19" s="1"/>
      <c r="D19" s="1"/>
      <c r="E19" s="1"/>
      <c r="F19" s="1"/>
      <c r="G19" s="1"/>
      <c r="H19" s="1"/>
    </row>
    <row r="20" spans="2:8">
      <c r="B20" s="99"/>
      <c r="C20" s="99"/>
      <c r="D20" s="99"/>
      <c r="E20" s="99"/>
      <c r="F20" s="99"/>
      <c r="G20" s="99"/>
      <c r="H20" s="99"/>
    </row>
    <row r="21" spans="2:8">
      <c r="B21" s="98"/>
      <c r="C21" s="98"/>
      <c r="D21" s="98"/>
      <c r="E21" s="98"/>
      <c r="F21" s="98"/>
      <c r="G21" s="98"/>
      <c r="H21" s="98"/>
    </row>
    <row r="22" spans="2:8">
      <c r="B22" s="98"/>
      <c r="C22" s="98"/>
      <c r="D22" s="98"/>
      <c r="E22" s="98"/>
      <c r="F22" s="98"/>
      <c r="G22" s="98"/>
      <c r="H22" s="98"/>
    </row>
  </sheetData>
  <mergeCells count="14">
    <mergeCell ref="B22:H22"/>
    <mergeCell ref="B2:E2"/>
    <mergeCell ref="F2:G2"/>
    <mergeCell ref="B4:B5"/>
    <mergeCell ref="C4:E4"/>
    <mergeCell ref="F4:H4"/>
    <mergeCell ref="C17:D17"/>
    <mergeCell ref="E17:F17"/>
    <mergeCell ref="G17:H17"/>
    <mergeCell ref="C18:D18"/>
    <mergeCell ref="E18:F18"/>
    <mergeCell ref="G18:H18"/>
    <mergeCell ref="B20:H20"/>
    <mergeCell ref="B21:H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2:K24"/>
  <sheetViews>
    <sheetView topLeftCell="A4" workbookViewId="0">
      <selection activeCell="J21" sqref="J21"/>
    </sheetView>
  </sheetViews>
  <sheetFormatPr defaultRowHeight="15"/>
  <cols>
    <col min="1" max="1" width="2.5703125" customWidth="1"/>
    <col min="2" max="2" width="18.5703125" customWidth="1"/>
    <col min="3" max="3" width="17" customWidth="1"/>
    <col min="4" max="4" width="13.42578125" customWidth="1"/>
    <col min="5" max="5" width="15.28515625" customWidth="1"/>
    <col min="6" max="6" width="17.42578125" customWidth="1"/>
    <col min="7" max="7" width="16.42578125" customWidth="1"/>
    <col min="8" max="8" width="16.5703125" customWidth="1"/>
  </cols>
  <sheetData>
    <row r="2" spans="2:8" ht="18.75">
      <c r="B2" s="102" t="s">
        <v>11</v>
      </c>
      <c r="C2" s="102"/>
      <c r="D2" s="102"/>
      <c r="E2" s="102"/>
      <c r="F2" s="103" t="s">
        <v>61</v>
      </c>
      <c r="G2" s="103"/>
      <c r="H2" s="64"/>
    </row>
    <row r="3" spans="2:8">
      <c r="B3" s="64"/>
      <c r="C3" s="64"/>
      <c r="D3" s="64"/>
      <c r="E3" s="64"/>
      <c r="F3" s="64"/>
      <c r="G3" s="64"/>
      <c r="H3" s="64"/>
    </row>
    <row r="4" spans="2:8">
      <c r="B4" s="104" t="s">
        <v>10</v>
      </c>
      <c r="C4" s="86" t="s">
        <v>1</v>
      </c>
      <c r="D4" s="86"/>
      <c r="E4" s="86"/>
      <c r="F4" s="86" t="s">
        <v>2</v>
      </c>
      <c r="G4" s="86"/>
      <c r="H4" s="86"/>
    </row>
    <row r="5" spans="2:8">
      <c r="B5" s="104"/>
      <c r="C5" s="59" t="s">
        <v>16</v>
      </c>
      <c r="D5" s="59" t="s">
        <v>17</v>
      </c>
      <c r="E5" s="59" t="s">
        <v>3</v>
      </c>
      <c r="F5" s="59" t="s">
        <v>16</v>
      </c>
      <c r="G5" s="59" t="s">
        <v>17</v>
      </c>
      <c r="H5" s="59" t="s">
        <v>3</v>
      </c>
    </row>
    <row r="6" spans="2:8">
      <c r="B6" s="64" t="s">
        <v>4</v>
      </c>
      <c r="C6" s="26">
        <f>'[1]NOV - 25'!$D$70+'[1]NOV - 25'!$D$105+'[1]NOV - 25'!$D$127+'[1]NOV - 25'!$D$147+'[1]NOV - 25'!$D$165</f>
        <v>1016000</v>
      </c>
      <c r="D6" s="28">
        <f>'[1]NOV - 25'!$E$70+'[1]NOV - 25'!$E$105+'[1]NOV - 25'!$E$127+'[1]NOV - 25'!$E$147+'[1]NOV - 25'!$E$165</f>
        <v>475351</v>
      </c>
      <c r="E6" s="16">
        <f>D6/C6</f>
        <v>0.46786515748031499</v>
      </c>
      <c r="F6" s="30">
        <f>C6+'OCT - 25'!F6</f>
        <v>8817500</v>
      </c>
      <c r="G6" s="28">
        <f>D6+'OCT - 25'!G6</f>
        <v>4076197.98</v>
      </c>
      <c r="H6" s="16">
        <f>G6/F6</f>
        <v>0.46228499914941878</v>
      </c>
    </row>
    <row r="7" spans="2:8">
      <c r="B7" s="64" t="s">
        <v>5</v>
      </c>
      <c r="C7" s="26">
        <f>'[1]NOV - 25'!$H$70+'[1]NOV - 25'!$H$105+'[1]NOV - 25'!$H$127+'[1]NOV - 25'!$H$147+'[1]NOV - 25'!$H$165</f>
        <v>990449</v>
      </c>
      <c r="D7" s="28">
        <f>'[1]NOV - 25'!$I$70+'[1]NOV - 25'!$I$105+'[1]NOV - 25'!$I$127+'[1]NOV - 25'!$I$147+'[1]NOV - 25'!$I$165</f>
        <v>379025</v>
      </c>
      <c r="E7" s="16">
        <f>D7/C7</f>
        <v>0.38267997645512286</v>
      </c>
      <c r="F7" s="30">
        <f>C7+'OCT - 25'!F7</f>
        <v>3890406</v>
      </c>
      <c r="G7" s="28">
        <f>D7+'OCT - 25'!G7</f>
        <v>2802160</v>
      </c>
      <c r="H7" s="16">
        <f>G7/F7</f>
        <v>0.72027443922305279</v>
      </c>
    </row>
    <row r="8" spans="2:8">
      <c r="B8" s="64"/>
      <c r="C8" s="65"/>
      <c r="D8" s="65"/>
      <c r="E8" s="65"/>
      <c r="F8" s="65"/>
      <c r="G8" s="65"/>
      <c r="H8" s="65"/>
    </row>
    <row r="9" spans="2:8">
      <c r="B9" s="64"/>
      <c r="C9" s="65"/>
      <c r="D9" s="65"/>
      <c r="E9" s="65"/>
      <c r="F9" s="65"/>
      <c r="G9" s="65"/>
      <c r="H9" s="65"/>
    </row>
    <row r="10" spans="2:8">
      <c r="B10" s="64"/>
      <c r="C10" s="65"/>
      <c r="D10" s="65"/>
      <c r="E10" s="65"/>
      <c r="F10" s="65"/>
      <c r="G10" s="65"/>
      <c r="H10" s="65"/>
    </row>
    <row r="11" spans="2:8">
      <c r="B11" s="64"/>
      <c r="C11" s="65"/>
      <c r="D11" s="65"/>
      <c r="E11" s="65"/>
      <c r="F11" s="65"/>
      <c r="G11" s="65"/>
      <c r="H11" s="65"/>
    </row>
    <row r="12" spans="2:8">
      <c r="B12" s="64"/>
      <c r="C12" s="65"/>
      <c r="D12" s="65"/>
      <c r="E12" s="65"/>
      <c r="F12" s="65"/>
      <c r="G12" s="65"/>
      <c r="H12" s="65"/>
    </row>
    <row r="13" spans="2:8">
      <c r="B13" s="64"/>
      <c r="C13" s="65"/>
      <c r="D13" s="65"/>
      <c r="E13" s="65"/>
      <c r="F13" s="65"/>
      <c r="G13" s="65"/>
      <c r="H13" s="65"/>
    </row>
    <row r="14" spans="2:8">
      <c r="B14" s="64"/>
      <c r="C14" s="65"/>
      <c r="D14" s="65"/>
      <c r="E14" s="65"/>
      <c r="F14" s="65"/>
      <c r="G14" s="65"/>
      <c r="H14" s="65"/>
    </row>
    <row r="15" spans="2:8">
      <c r="B15" s="64"/>
      <c r="C15" s="64"/>
      <c r="D15" s="64"/>
      <c r="E15" s="64"/>
      <c r="F15" s="64"/>
      <c r="G15" s="64"/>
      <c r="H15" s="64"/>
    </row>
    <row r="16" spans="2:8">
      <c r="B16" s="66" t="s">
        <v>9</v>
      </c>
      <c r="C16" s="64"/>
      <c r="D16" s="64"/>
      <c r="E16" s="64"/>
      <c r="F16" s="64"/>
      <c r="G16" s="64"/>
      <c r="H16" s="64"/>
    </row>
    <row r="17" spans="2:11">
      <c r="B17" s="86" t="s">
        <v>6</v>
      </c>
      <c r="C17" s="86"/>
      <c r="D17" s="86" t="s">
        <v>19</v>
      </c>
      <c r="E17" s="86"/>
      <c r="F17" s="86"/>
      <c r="G17" s="105" t="s">
        <v>7</v>
      </c>
      <c r="H17" s="105"/>
    </row>
    <row r="18" spans="2:11">
      <c r="B18" s="86">
        <v>73</v>
      </c>
      <c r="C18" s="86"/>
      <c r="D18" s="86">
        <v>10</v>
      </c>
      <c r="E18" s="86"/>
      <c r="F18" s="86"/>
      <c r="G18" s="105">
        <f>B18+D18</f>
        <v>83</v>
      </c>
      <c r="H18" s="105"/>
      <c r="K18">
        <v>73</v>
      </c>
    </row>
    <row r="19" spans="2:11">
      <c r="B19" s="1"/>
      <c r="C19" s="1"/>
      <c r="D19" s="1"/>
      <c r="E19" s="1"/>
      <c r="F19" s="1"/>
      <c r="G19" s="1"/>
      <c r="H19" s="1"/>
    </row>
    <row r="20" spans="2:11">
      <c r="B20" s="99" t="s">
        <v>20</v>
      </c>
      <c r="C20" s="99"/>
      <c r="D20" s="99"/>
      <c r="E20" s="99"/>
      <c r="F20" s="99"/>
      <c r="G20" s="99"/>
      <c r="H20" s="99"/>
      <c r="K20" s="62"/>
    </row>
    <row r="21" spans="2:11">
      <c r="B21" s="101" t="s">
        <v>63</v>
      </c>
      <c r="C21" s="101"/>
      <c r="D21" s="101"/>
      <c r="E21" s="101"/>
      <c r="F21" s="101"/>
      <c r="G21" s="101"/>
      <c r="H21" s="67" t="s">
        <v>67</v>
      </c>
    </row>
    <row r="22" spans="2:11">
      <c r="B22" s="101" t="s">
        <v>64</v>
      </c>
      <c r="C22" s="101"/>
      <c r="D22" s="101"/>
      <c r="E22" s="101"/>
      <c r="F22" s="101"/>
      <c r="G22" s="101"/>
      <c r="H22" s="67" t="s">
        <v>68</v>
      </c>
    </row>
    <row r="23" spans="2:11">
      <c r="B23" s="101" t="s">
        <v>65</v>
      </c>
      <c r="C23" s="101"/>
      <c r="D23" s="101"/>
      <c r="E23" s="101"/>
      <c r="F23" s="101"/>
      <c r="G23" s="101"/>
      <c r="H23" s="3"/>
    </row>
    <row r="24" spans="2:11">
      <c r="B24" s="101" t="s">
        <v>66</v>
      </c>
      <c r="C24" s="101"/>
      <c r="D24" s="101"/>
      <c r="E24" s="101"/>
      <c r="F24" s="101"/>
      <c r="G24" s="101"/>
      <c r="H24" s="3"/>
    </row>
  </sheetData>
  <mergeCells count="16">
    <mergeCell ref="G17:H17"/>
    <mergeCell ref="G18:H18"/>
    <mergeCell ref="B20:H20"/>
    <mergeCell ref="B17:C17"/>
    <mergeCell ref="D17:F17"/>
    <mergeCell ref="B2:E2"/>
    <mergeCell ref="F2:G2"/>
    <mergeCell ref="B4:B5"/>
    <mergeCell ref="C4:E4"/>
    <mergeCell ref="F4:H4"/>
    <mergeCell ref="B24:G24"/>
    <mergeCell ref="B18:C18"/>
    <mergeCell ref="D18:F18"/>
    <mergeCell ref="B21:G21"/>
    <mergeCell ref="B22:G22"/>
    <mergeCell ref="B23:G2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B1:K29"/>
  <sheetViews>
    <sheetView topLeftCell="A10" workbookViewId="0">
      <selection activeCell="B25" sqref="B25:G25"/>
    </sheetView>
  </sheetViews>
  <sheetFormatPr defaultRowHeight="15"/>
  <cols>
    <col min="1" max="1" width="2.5703125" customWidth="1"/>
    <col min="2" max="2" width="18.5703125" customWidth="1"/>
    <col min="3" max="3" width="17" customWidth="1"/>
    <col min="4" max="4" width="13.42578125" customWidth="1"/>
    <col min="5" max="5" width="15.28515625" customWidth="1"/>
    <col min="6" max="6" width="17.42578125" customWidth="1"/>
    <col min="7" max="7" width="16.42578125" customWidth="1"/>
    <col min="8" max="8" width="16.5703125" customWidth="1"/>
  </cols>
  <sheetData>
    <row r="1" spans="2:8" ht="15.75" thickBot="1"/>
    <row r="2" spans="2:8" ht="19.5" thickBot="1">
      <c r="B2" s="80" t="s">
        <v>11</v>
      </c>
      <c r="C2" s="81"/>
      <c r="D2" s="81"/>
      <c r="E2" s="82"/>
      <c r="F2" s="78" t="s">
        <v>62</v>
      </c>
      <c r="G2" s="79"/>
      <c r="H2" s="6"/>
    </row>
    <row r="3" spans="2:8" ht="15.75" thickBot="1">
      <c r="B3" s="1"/>
      <c r="C3" s="1"/>
      <c r="D3" s="1"/>
      <c r="E3" s="1"/>
      <c r="F3" s="1"/>
      <c r="G3" s="1"/>
      <c r="H3" s="1"/>
    </row>
    <row r="4" spans="2:8">
      <c r="B4" s="90" t="s">
        <v>10</v>
      </c>
      <c r="C4" s="88" t="s">
        <v>1</v>
      </c>
      <c r="D4" s="88"/>
      <c r="E4" s="88"/>
      <c r="F4" s="88" t="s">
        <v>2</v>
      </c>
      <c r="G4" s="88"/>
      <c r="H4" s="89"/>
    </row>
    <row r="5" spans="2:8">
      <c r="B5" s="91"/>
      <c r="C5" s="59" t="s">
        <v>16</v>
      </c>
      <c r="D5" s="59" t="s">
        <v>17</v>
      </c>
      <c r="E5" s="59" t="s">
        <v>3</v>
      </c>
      <c r="F5" s="59" t="s">
        <v>16</v>
      </c>
      <c r="G5" s="59" t="s">
        <v>17</v>
      </c>
      <c r="H5" s="60" t="s">
        <v>3</v>
      </c>
    </row>
    <row r="6" spans="2:8">
      <c r="B6" s="14" t="s">
        <v>4</v>
      </c>
      <c r="C6" s="26">
        <f>'[1]DEC -2025'!$D$72+'[1]DEC -2025'!$D$92+'[1]DEC -2025'!$D$112+'[1]DEC -2025'!$D$145+'[1]DEC -2025'!$D$166</f>
        <v>860000</v>
      </c>
      <c r="D6" s="28">
        <f>'[1]DEC -2025'!$E$166+'[1]DEC -2025'!$E$145+'[1]DEC -2025'!$E$112+'[1]DEC -2025'!$E$92+'[1]DEC -2025'!$E$72</f>
        <v>417010</v>
      </c>
      <c r="E6" s="16">
        <f>D6/C6</f>
        <v>0.48489534883720931</v>
      </c>
      <c r="F6" s="30">
        <f>C6+'NOV - 25'!F6</f>
        <v>9677500</v>
      </c>
      <c r="G6" s="28">
        <f>D6+'NOV - 25'!G6</f>
        <v>4493207.9800000004</v>
      </c>
      <c r="H6" s="17">
        <f>G6/F6</f>
        <v>0.46429428881425994</v>
      </c>
    </row>
    <row r="7" spans="2:8" ht="15.75" thickBot="1">
      <c r="B7" s="15" t="s">
        <v>5</v>
      </c>
      <c r="C7" s="27">
        <f>'[1]DEC -2025'!$H$72+'[1]DEC -2025'!$H$92+'[1]DEC -2025'!$H$112+'[1]DEC -2025'!$H$145+'[1]DEC -2025'!$H$166</f>
        <v>1086000</v>
      </c>
      <c r="D7" s="29">
        <f>'[1]DEC -2025'!$I$72+'[1]DEC -2025'!$I$92+'[1]DEC -2025'!$I$112+'[1]DEC -2025'!$I$145+'[1]DEC -2025'!$I$166</f>
        <v>375981</v>
      </c>
      <c r="E7" s="16">
        <f>D7/C7</f>
        <v>0.34620718232044201</v>
      </c>
      <c r="F7" s="31">
        <f>'DEC - 25'!C7+'NOV - 25'!F7</f>
        <v>4976406</v>
      </c>
      <c r="G7" s="29">
        <f>D7+'NOV - 25'!G7</f>
        <v>3178141</v>
      </c>
      <c r="H7" s="17">
        <f>G7/F7</f>
        <v>0.63864182303453532</v>
      </c>
    </row>
    <row r="8" spans="2:8">
      <c r="B8" s="1"/>
      <c r="C8" s="2"/>
      <c r="D8" s="2"/>
      <c r="E8" s="2"/>
      <c r="F8" s="2"/>
      <c r="G8" s="2"/>
      <c r="H8" s="2"/>
    </row>
    <row r="9" spans="2:8">
      <c r="B9" s="1"/>
      <c r="C9" s="2"/>
      <c r="D9" s="2"/>
      <c r="E9" s="2"/>
      <c r="F9" s="2"/>
      <c r="G9" s="2"/>
      <c r="H9" s="2"/>
    </row>
    <row r="10" spans="2:8">
      <c r="B10" s="1"/>
      <c r="C10" s="2"/>
      <c r="D10" s="2"/>
      <c r="E10" s="2"/>
      <c r="F10" s="2"/>
      <c r="G10" s="2"/>
      <c r="H10" s="2"/>
    </row>
    <row r="11" spans="2:8">
      <c r="B11" s="1"/>
      <c r="C11" s="2"/>
      <c r="D11" s="2"/>
      <c r="E11" s="2"/>
      <c r="F11" s="2"/>
      <c r="G11" s="2"/>
      <c r="H11" s="2"/>
    </row>
    <row r="12" spans="2:8">
      <c r="B12" s="1"/>
      <c r="C12" s="2"/>
      <c r="D12" s="2"/>
      <c r="E12" s="2"/>
      <c r="F12" s="2"/>
      <c r="G12" s="2"/>
      <c r="H12" s="2"/>
    </row>
    <row r="13" spans="2:8">
      <c r="B13" s="1"/>
      <c r="C13" s="2"/>
      <c r="D13" s="2"/>
      <c r="E13" s="2"/>
      <c r="F13" s="2"/>
      <c r="G13" s="2"/>
      <c r="H13" s="2"/>
    </row>
    <row r="14" spans="2:8">
      <c r="B14" s="1"/>
      <c r="C14" s="2"/>
      <c r="D14" s="2"/>
      <c r="E14" s="2"/>
      <c r="F14" s="2"/>
      <c r="G14" s="2"/>
      <c r="H14" s="2"/>
    </row>
    <row r="15" spans="2:8" ht="15.75" thickBot="1">
      <c r="B15" s="1"/>
      <c r="C15" s="1"/>
      <c r="D15" s="1"/>
      <c r="E15" s="1"/>
      <c r="F15" s="1"/>
      <c r="G15" s="1"/>
      <c r="H15" s="1"/>
    </row>
    <row r="16" spans="2:8">
      <c r="B16" s="8" t="s">
        <v>9</v>
      </c>
      <c r="C16" s="9"/>
      <c r="D16" s="9"/>
      <c r="E16" s="9"/>
      <c r="F16" s="9"/>
      <c r="G16" s="9"/>
      <c r="H16" s="10"/>
    </row>
    <row r="17" spans="2:11">
      <c r="B17" s="115" t="s">
        <v>6</v>
      </c>
      <c r="C17" s="116"/>
      <c r="D17" s="116" t="s">
        <v>19</v>
      </c>
      <c r="E17" s="116"/>
      <c r="F17" s="109"/>
      <c r="G17" s="106" t="s">
        <v>7</v>
      </c>
      <c r="H17" s="107"/>
    </row>
    <row r="18" spans="2:11">
      <c r="B18" s="110">
        <v>83</v>
      </c>
      <c r="C18" s="110"/>
      <c r="D18" s="110">
        <v>1</v>
      </c>
      <c r="E18" s="110"/>
      <c r="F18" s="110"/>
      <c r="G18" s="114">
        <f>B18+D18</f>
        <v>84</v>
      </c>
      <c r="H18" s="114"/>
    </row>
    <row r="19" spans="2:11">
      <c r="B19" s="1"/>
      <c r="C19" s="1"/>
      <c r="D19" s="1"/>
      <c r="E19" s="1"/>
      <c r="F19" s="1"/>
      <c r="G19" s="1"/>
      <c r="H19" s="1"/>
      <c r="K19" s="62"/>
    </row>
    <row r="20" spans="2:11">
      <c r="B20" s="61" t="s">
        <v>20</v>
      </c>
      <c r="C20" s="61"/>
      <c r="D20" s="61"/>
      <c r="E20" s="61"/>
      <c r="F20" s="61"/>
      <c r="G20" s="61"/>
      <c r="H20" s="61"/>
    </row>
    <row r="21" spans="2:11">
      <c r="B21" s="63" t="s">
        <v>60</v>
      </c>
      <c r="C21" s="63"/>
      <c r="D21" s="63"/>
      <c r="E21" s="63"/>
      <c r="F21" s="63"/>
      <c r="G21" s="63"/>
      <c r="H21" s="62" t="s">
        <v>58</v>
      </c>
    </row>
    <row r="22" spans="2:11">
      <c r="B22" s="63" t="s">
        <v>54</v>
      </c>
      <c r="C22" s="63"/>
      <c r="D22" s="63"/>
      <c r="E22" s="63"/>
      <c r="F22" s="63"/>
      <c r="G22" s="63"/>
      <c r="H22" s="62" t="s">
        <v>59</v>
      </c>
    </row>
    <row r="23" spans="2:11">
      <c r="B23" s="111" t="s">
        <v>57</v>
      </c>
      <c r="C23" s="112"/>
      <c r="D23" s="112"/>
      <c r="E23" s="112"/>
      <c r="F23" s="112"/>
      <c r="G23" s="113"/>
      <c r="H23" s="3"/>
    </row>
    <row r="24" spans="2:11">
      <c r="B24" s="111" t="s">
        <v>56</v>
      </c>
      <c r="C24" s="112"/>
      <c r="D24" s="112"/>
      <c r="E24" s="112"/>
      <c r="F24" s="112"/>
      <c r="G24" s="113"/>
      <c r="H24" s="3"/>
    </row>
    <row r="25" spans="2:11">
      <c r="B25" s="111" t="s">
        <v>55</v>
      </c>
      <c r="C25" s="112"/>
      <c r="D25" s="112"/>
      <c r="E25" s="112"/>
      <c r="F25" s="112"/>
      <c r="G25" s="113"/>
      <c r="H25" s="3"/>
    </row>
    <row r="29" spans="2:11">
      <c r="F29" s="108"/>
      <c r="G29" s="109"/>
    </row>
  </sheetData>
  <mergeCells count="15">
    <mergeCell ref="B2:E2"/>
    <mergeCell ref="F2:G2"/>
    <mergeCell ref="B4:B5"/>
    <mergeCell ref="C4:E4"/>
    <mergeCell ref="F4:H4"/>
    <mergeCell ref="G17:H17"/>
    <mergeCell ref="F29:G29"/>
    <mergeCell ref="B18:C18"/>
    <mergeCell ref="D18:F18"/>
    <mergeCell ref="B23:G23"/>
    <mergeCell ref="B24:G24"/>
    <mergeCell ref="B25:G25"/>
    <mergeCell ref="G18:H18"/>
    <mergeCell ref="B17:C17"/>
    <mergeCell ref="D17:F17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B2:E34"/>
  <sheetViews>
    <sheetView topLeftCell="A10" workbookViewId="0">
      <selection activeCell="P15" sqref="P15"/>
    </sheetView>
  </sheetViews>
  <sheetFormatPr defaultRowHeight="15"/>
  <cols>
    <col min="2" max="2" width="11.140625" customWidth="1"/>
    <col min="3" max="3" width="15.7109375" customWidth="1"/>
    <col min="4" max="4" width="13.42578125" customWidth="1"/>
    <col min="5" max="5" width="8.140625" customWidth="1"/>
    <col min="6" max="6" width="3.85546875" customWidth="1"/>
  </cols>
  <sheetData>
    <row r="2" spans="2:5">
      <c r="B2" s="18" t="s">
        <v>13</v>
      </c>
    </row>
    <row r="4" spans="2:5">
      <c r="B4" s="3" t="s">
        <v>0</v>
      </c>
      <c r="C4" s="48" t="s">
        <v>39</v>
      </c>
      <c r="D4" s="49" t="s">
        <v>12</v>
      </c>
      <c r="E4" s="3" t="s">
        <v>3</v>
      </c>
    </row>
    <row r="5" spans="2:5">
      <c r="B5" s="4">
        <v>45658</v>
      </c>
      <c r="C5" s="33">
        <f>'JAN-25'!C6</f>
        <v>620000</v>
      </c>
      <c r="D5" s="33">
        <f>'JAN-25'!D6</f>
        <v>321973</v>
      </c>
      <c r="E5" s="5">
        <f t="shared" ref="E5:E16" si="0">D5/C5</f>
        <v>0.51931129032258061</v>
      </c>
    </row>
    <row r="6" spans="2:5">
      <c r="B6" s="4">
        <v>45689</v>
      </c>
      <c r="C6" s="33">
        <f>'FEB-25'!C6</f>
        <v>510000</v>
      </c>
      <c r="D6" s="33">
        <f>'FEB-25'!D6</f>
        <v>451920.45</v>
      </c>
      <c r="E6" s="5">
        <f t="shared" si="0"/>
        <v>0.88611852941176472</v>
      </c>
    </row>
    <row r="7" spans="2:5">
      <c r="B7" s="4">
        <v>45717</v>
      </c>
      <c r="C7" s="32">
        <f>'MAR-25'!C6</f>
        <v>650000</v>
      </c>
      <c r="D7" s="34">
        <f>'MAR-25'!D6</f>
        <v>351515</v>
      </c>
      <c r="E7" s="5">
        <f t="shared" si="0"/>
        <v>0.54079230769230768</v>
      </c>
    </row>
    <row r="8" spans="2:5">
      <c r="B8" s="4">
        <v>45748</v>
      </c>
      <c r="C8" s="32">
        <f>'APR-25'!C6</f>
        <v>1430000</v>
      </c>
      <c r="D8" s="34">
        <f>'APR-25'!D6</f>
        <v>227073.43</v>
      </c>
      <c r="E8" s="5">
        <f t="shared" si="0"/>
        <v>0.15879260839160839</v>
      </c>
    </row>
    <row r="9" spans="2:5">
      <c r="B9" s="4">
        <v>45778</v>
      </c>
      <c r="C9" s="32">
        <f>'MAY-25'!C6</f>
        <v>1510000</v>
      </c>
      <c r="D9" s="34">
        <f>'MAY-25'!D6</f>
        <v>673893</v>
      </c>
      <c r="E9" s="5">
        <f t="shared" si="0"/>
        <v>0.44628675496688741</v>
      </c>
    </row>
    <row r="10" spans="2:5">
      <c r="B10" s="4">
        <v>45809</v>
      </c>
      <c r="C10" s="32">
        <f>'JUNE-25'!C7</f>
        <v>720000</v>
      </c>
      <c r="D10" s="34">
        <f>'JUNE-25'!D7</f>
        <v>326768</v>
      </c>
      <c r="E10" s="5">
        <f t="shared" si="0"/>
        <v>0.45384444444444444</v>
      </c>
    </row>
    <row r="11" spans="2:5">
      <c r="B11" s="4">
        <v>45839</v>
      </c>
      <c r="C11" s="32">
        <f>'JULY-25'!C6</f>
        <v>390000</v>
      </c>
      <c r="D11" s="34">
        <f>'JULY-25'!D6</f>
        <v>55407</v>
      </c>
      <c r="E11" s="5">
        <f t="shared" si="0"/>
        <v>0.14206923076923078</v>
      </c>
    </row>
    <row r="12" spans="2:5">
      <c r="B12" s="4">
        <v>45870</v>
      </c>
      <c r="C12" s="32">
        <f>'AUG-25'!C6</f>
        <v>666500</v>
      </c>
      <c r="D12" s="34">
        <f>'AUG-25'!D6</f>
        <v>439520</v>
      </c>
      <c r="E12" s="5">
        <f t="shared" si="0"/>
        <v>0.65944486121530388</v>
      </c>
    </row>
    <row r="13" spans="2:5">
      <c r="B13" s="4">
        <v>45901</v>
      </c>
      <c r="C13" s="32">
        <f>'SEP-25'!B5</f>
        <v>594000</v>
      </c>
      <c r="D13" s="34">
        <v>285017.09999999998</v>
      </c>
      <c r="E13" s="5">
        <f>D13/C13</f>
        <v>0.47982676767676763</v>
      </c>
    </row>
    <row r="14" spans="2:5">
      <c r="B14" s="4">
        <v>45931</v>
      </c>
      <c r="C14" s="32">
        <f>'OCT - 25'!C6</f>
        <v>711000</v>
      </c>
      <c r="D14" s="32">
        <f>'OCT - 25'!D6</f>
        <v>467760</v>
      </c>
      <c r="E14" s="5">
        <f t="shared" si="0"/>
        <v>0.65789029535864973</v>
      </c>
    </row>
    <row r="15" spans="2:5">
      <c r="B15" s="4">
        <v>45962</v>
      </c>
      <c r="C15" s="32">
        <f>'NOV - 25'!C6</f>
        <v>1016000</v>
      </c>
      <c r="D15" s="34">
        <f>'NOV - 25'!D6</f>
        <v>475351</v>
      </c>
      <c r="E15" s="5">
        <f t="shared" si="0"/>
        <v>0.46786515748031499</v>
      </c>
    </row>
    <row r="16" spans="2:5">
      <c r="B16" s="4">
        <v>45992</v>
      </c>
      <c r="C16" s="32">
        <f>'DEC - 25'!C6</f>
        <v>860000</v>
      </c>
      <c r="D16" s="34">
        <f>'DEC - 25'!D6</f>
        <v>417010</v>
      </c>
      <c r="E16" s="5">
        <f t="shared" si="0"/>
        <v>0.48489534883720931</v>
      </c>
    </row>
    <row r="19" spans="2:5">
      <c r="B19" s="18" t="s">
        <v>14</v>
      </c>
    </row>
    <row r="21" spans="2:5">
      <c r="B21" s="3" t="s">
        <v>0</v>
      </c>
      <c r="C21" s="50" t="s">
        <v>15</v>
      </c>
      <c r="D21" s="49" t="s">
        <v>12</v>
      </c>
      <c r="E21" s="3" t="s">
        <v>3</v>
      </c>
    </row>
    <row r="22" spans="2:5">
      <c r="B22" s="4">
        <v>45658</v>
      </c>
      <c r="C22" s="33">
        <f>'JAN-25'!C7</f>
        <v>220000</v>
      </c>
      <c r="D22" s="33">
        <f>'JAN-25'!D7</f>
        <v>111100</v>
      </c>
      <c r="E22" s="5">
        <f t="shared" ref="E22:E33" si="1">D22/C22</f>
        <v>0.505</v>
      </c>
    </row>
    <row r="23" spans="2:5">
      <c r="B23" s="4">
        <v>45689</v>
      </c>
      <c r="C23" s="33">
        <f>'FEB-25'!C7</f>
        <v>222000</v>
      </c>
      <c r="D23" s="33">
        <f>'FEB-25'!D7</f>
        <v>207410</v>
      </c>
      <c r="E23" s="5">
        <f t="shared" si="1"/>
        <v>0.93427927927927923</v>
      </c>
    </row>
    <row r="24" spans="2:5">
      <c r="B24" s="4">
        <v>45717</v>
      </c>
      <c r="C24" s="32">
        <f>'MAR-25'!C7</f>
        <v>260000</v>
      </c>
      <c r="D24" s="34">
        <f>'MAR-25'!D7</f>
        <v>307751</v>
      </c>
      <c r="E24" s="5">
        <f t="shared" si="1"/>
        <v>1.1836576923076922</v>
      </c>
    </row>
    <row r="25" spans="2:5">
      <c r="B25" s="4">
        <v>45748</v>
      </c>
      <c r="C25" s="32">
        <f>'APR-25'!C7</f>
        <v>535000</v>
      </c>
      <c r="D25" s="34">
        <f>'APR-25'!D7</f>
        <v>181311</v>
      </c>
      <c r="E25" s="5">
        <f t="shared" si="1"/>
        <v>0.33889906542056075</v>
      </c>
    </row>
    <row r="26" spans="2:5">
      <c r="B26" s="4">
        <v>45778</v>
      </c>
      <c r="C26" s="32">
        <f>'MAY-25'!C7</f>
        <v>400000</v>
      </c>
      <c r="D26" s="34">
        <f>'MAY-25'!D7</f>
        <v>206705</v>
      </c>
      <c r="E26" s="5">
        <f t="shared" si="1"/>
        <v>0.51676250000000001</v>
      </c>
    </row>
    <row r="27" spans="2:5">
      <c r="B27" s="4">
        <v>45809</v>
      </c>
      <c r="C27" s="32">
        <f>'JUNE-25'!C8</f>
        <v>400000</v>
      </c>
      <c r="D27" s="34">
        <f>'JUNE-25'!D8</f>
        <v>320832</v>
      </c>
      <c r="E27" s="5">
        <f t="shared" si="1"/>
        <v>0.80208000000000002</v>
      </c>
    </row>
    <row r="28" spans="2:5">
      <c r="B28" s="4">
        <v>45839</v>
      </c>
      <c r="C28" s="32">
        <f>'JULY-25'!C7</f>
        <v>295000</v>
      </c>
      <c r="D28" s="34">
        <f>'JULY-25'!D7</f>
        <v>174491</v>
      </c>
      <c r="E28" s="5">
        <f t="shared" si="1"/>
        <v>0.59149491525423725</v>
      </c>
    </row>
    <row r="29" spans="2:5">
      <c r="B29" s="4">
        <v>45870</v>
      </c>
      <c r="C29" s="32">
        <f>'AUG-25'!C7</f>
        <v>697000</v>
      </c>
      <c r="D29" s="34">
        <f>'AUG-25'!D7</f>
        <v>167829</v>
      </c>
      <c r="E29" s="5">
        <f t="shared" si="1"/>
        <v>0.24078766140602584</v>
      </c>
    </row>
    <row r="30" spans="2:5">
      <c r="B30" s="4">
        <v>45901</v>
      </c>
      <c r="C30" s="32">
        <f>'SEP-25'!B6</f>
        <v>980000</v>
      </c>
      <c r="D30" s="34">
        <v>220028</v>
      </c>
      <c r="E30" s="5">
        <f>D30/C30</f>
        <v>0.22451836734693878</v>
      </c>
    </row>
    <row r="31" spans="2:5">
      <c r="B31" s="4">
        <v>45931</v>
      </c>
      <c r="C31" s="32">
        <f>'OCT - 25'!C7</f>
        <v>1002500</v>
      </c>
      <c r="D31" s="32">
        <f>'OCT - 25'!D7</f>
        <v>525678</v>
      </c>
      <c r="E31" s="5">
        <f t="shared" si="1"/>
        <v>0.52436708229426432</v>
      </c>
    </row>
    <row r="32" spans="2:5">
      <c r="B32" s="4">
        <v>45962</v>
      </c>
      <c r="C32" s="32">
        <f>'NOV - 25'!C7</f>
        <v>990449</v>
      </c>
      <c r="D32" s="34">
        <f>'NOV - 25'!D7</f>
        <v>379025</v>
      </c>
      <c r="E32" s="5">
        <f t="shared" si="1"/>
        <v>0.38267997645512286</v>
      </c>
    </row>
    <row r="33" spans="2:5">
      <c r="B33" s="4">
        <v>45992</v>
      </c>
      <c r="C33" s="32">
        <f>'DEC - 25'!C7</f>
        <v>1086000</v>
      </c>
      <c r="D33" s="34">
        <f>'DEC - 25'!D7</f>
        <v>375981</v>
      </c>
      <c r="E33" s="5">
        <f t="shared" si="1"/>
        <v>0.34620718232044201</v>
      </c>
    </row>
    <row r="34" spans="2:5">
      <c r="E34" s="58"/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B2:K27"/>
  <sheetViews>
    <sheetView topLeftCell="A10" workbookViewId="0">
      <selection activeCell="G7" sqref="G7"/>
    </sheetView>
  </sheetViews>
  <sheetFormatPr defaultRowHeight="15"/>
  <cols>
    <col min="1" max="1" width="2.5703125" customWidth="1"/>
    <col min="2" max="2" width="18.5703125" customWidth="1"/>
    <col min="3" max="3" width="17" customWidth="1"/>
    <col min="4" max="4" width="13.42578125" customWidth="1"/>
    <col min="5" max="5" width="15.28515625" customWidth="1"/>
    <col min="6" max="6" width="17.42578125" customWidth="1"/>
    <col min="7" max="7" width="19.28515625" customWidth="1"/>
    <col min="8" max="8" width="16.5703125" customWidth="1"/>
  </cols>
  <sheetData>
    <row r="2" spans="2:8" ht="18.75">
      <c r="B2" s="102" t="s">
        <v>11</v>
      </c>
      <c r="C2" s="102"/>
      <c r="D2" s="102"/>
      <c r="E2" s="102"/>
      <c r="F2" s="103" t="s">
        <v>71</v>
      </c>
      <c r="G2" s="103"/>
      <c r="H2" s="64"/>
    </row>
    <row r="3" spans="2:8">
      <c r="B3" s="64"/>
      <c r="C3" s="64"/>
      <c r="D3" s="64"/>
      <c r="E3" s="64"/>
      <c r="F3" s="64"/>
      <c r="G3" s="64"/>
      <c r="H3" s="64"/>
    </row>
    <row r="4" spans="2:8">
      <c r="B4" s="104" t="s">
        <v>10</v>
      </c>
      <c r="C4" s="86" t="s">
        <v>1</v>
      </c>
      <c r="D4" s="86"/>
      <c r="E4" s="86"/>
      <c r="F4" s="86" t="s">
        <v>2</v>
      </c>
      <c r="G4" s="86"/>
      <c r="H4" s="86"/>
    </row>
    <row r="5" spans="2:8">
      <c r="B5" s="104"/>
      <c r="C5" s="59" t="s">
        <v>16</v>
      </c>
      <c r="D5" s="59" t="s">
        <v>17</v>
      </c>
      <c r="E5" s="59" t="s">
        <v>3</v>
      </c>
      <c r="F5" s="59" t="s">
        <v>16</v>
      </c>
      <c r="G5" s="59" t="s">
        <v>17</v>
      </c>
      <c r="H5" s="59" t="s">
        <v>3</v>
      </c>
    </row>
    <row r="6" spans="2:8">
      <c r="B6" s="64" t="s">
        <v>4</v>
      </c>
      <c r="C6" s="26">
        <f>'[1]Jan-26'!$D$72+'[1]Jan-26'!$D$86+'[1]Jan-26'!$D$102+'[1]Jan-26'!$D$132+'[1]Jan-26'!$D$153</f>
        <v>983000</v>
      </c>
      <c r="D6" s="28">
        <f>'[1]Jan-26'!$E$72+'[1]Jan-26'!$E$86+'[1]Jan-26'!$E$102+'[1]Jan-26'!$E$132+'[1]Jan-26'!$E$153</f>
        <v>667635</v>
      </c>
      <c r="E6" s="16">
        <f>D6/C6</f>
        <v>0.67918107833163788</v>
      </c>
      <c r="F6" s="30">
        <f>C6</f>
        <v>983000</v>
      </c>
      <c r="G6" s="28">
        <f>D6</f>
        <v>667635</v>
      </c>
      <c r="H6" s="16">
        <f>G6/F6</f>
        <v>0.67918107833163788</v>
      </c>
    </row>
    <row r="7" spans="2:8">
      <c r="B7" s="64" t="s">
        <v>5</v>
      </c>
      <c r="C7" s="26">
        <f>'[1]Jan-26'!$H$72+'[1]Jan-26'!$H$86+'[1]Jan-26'!$H$102+'[1]Jan-26'!$H$132+'[1]Jan-26'!$H$153</f>
        <v>1233388</v>
      </c>
      <c r="D7" s="28">
        <f>'[1]Jan-26'!$I$72+'[1]Jan-26'!$I$86+'[1]Jan-26'!$I$102+'[1]Jan-26'!$I$132+'[1]Jan-26'!$I$153</f>
        <v>408960</v>
      </c>
      <c r="E7" s="16">
        <f>D7/C7</f>
        <v>0.33157449237385156</v>
      </c>
      <c r="F7" s="30">
        <f>C7</f>
        <v>1233388</v>
      </c>
      <c r="G7" s="28">
        <f>D7</f>
        <v>408960</v>
      </c>
      <c r="H7" s="16">
        <f>G7/F7</f>
        <v>0.33157449237385156</v>
      </c>
    </row>
    <row r="8" spans="2:8">
      <c r="B8" s="64"/>
      <c r="C8" s="65"/>
      <c r="D8" s="65"/>
      <c r="E8" s="65"/>
      <c r="F8" s="65"/>
      <c r="G8" s="65"/>
      <c r="H8" s="65"/>
    </row>
    <row r="9" spans="2:8">
      <c r="B9" s="64"/>
      <c r="C9" s="65"/>
      <c r="D9" s="65"/>
      <c r="E9" s="65"/>
      <c r="F9" s="65"/>
      <c r="G9" s="65"/>
      <c r="H9" s="65"/>
    </row>
    <row r="10" spans="2:8">
      <c r="B10" s="64"/>
      <c r="C10" s="65"/>
      <c r="D10" s="65"/>
      <c r="E10" s="65"/>
      <c r="F10" s="65"/>
      <c r="G10" s="65"/>
      <c r="H10" s="65"/>
    </row>
    <row r="11" spans="2:8">
      <c r="B11" s="64"/>
      <c r="C11" s="65"/>
      <c r="D11" s="65"/>
      <c r="E11" s="65"/>
      <c r="F11" s="65"/>
      <c r="G11" s="65"/>
      <c r="H11" s="65"/>
    </row>
    <row r="12" spans="2:8">
      <c r="B12" s="64"/>
      <c r="C12" s="65"/>
      <c r="D12" s="65"/>
      <c r="E12" s="65"/>
      <c r="F12" s="65"/>
      <c r="G12" s="65"/>
      <c r="H12" s="65"/>
    </row>
    <row r="13" spans="2:8">
      <c r="B13" s="64"/>
      <c r="C13" s="65"/>
      <c r="D13" s="65"/>
      <c r="E13" s="65"/>
      <c r="F13" s="65"/>
      <c r="G13" s="65"/>
      <c r="H13" s="65"/>
    </row>
    <row r="14" spans="2:8">
      <c r="B14" s="64"/>
      <c r="C14" s="65"/>
      <c r="D14" s="65"/>
      <c r="E14" s="65"/>
      <c r="F14" s="65"/>
      <c r="G14" s="65"/>
      <c r="H14" s="65"/>
    </row>
    <row r="15" spans="2:8">
      <c r="B15" s="64"/>
      <c r="C15" s="65"/>
      <c r="D15" s="65"/>
      <c r="E15" s="65"/>
      <c r="F15" s="65"/>
      <c r="G15" s="65"/>
      <c r="H15" s="65"/>
    </row>
    <row r="16" spans="2:8">
      <c r="B16" s="64"/>
      <c r="C16" s="65"/>
      <c r="D16" s="65"/>
      <c r="E16" s="65"/>
      <c r="F16" s="65"/>
      <c r="G16" s="65"/>
      <c r="H16" s="65"/>
    </row>
    <row r="17" spans="2:11">
      <c r="B17" s="66" t="s">
        <v>9</v>
      </c>
      <c r="C17" s="64"/>
      <c r="D17" s="64"/>
      <c r="E17" s="64"/>
      <c r="F17" s="64"/>
      <c r="G17" s="64"/>
      <c r="H17" s="64"/>
    </row>
    <row r="18" spans="2:11">
      <c r="B18" s="86" t="s">
        <v>6</v>
      </c>
      <c r="C18" s="86"/>
      <c r="D18" s="86" t="s">
        <v>19</v>
      </c>
      <c r="E18" s="86"/>
      <c r="F18" s="86"/>
      <c r="G18" s="105" t="s">
        <v>7</v>
      </c>
      <c r="H18" s="105"/>
    </row>
    <row r="19" spans="2:11">
      <c r="B19" s="86">
        <v>83</v>
      </c>
      <c r="C19" s="86"/>
      <c r="D19" s="86">
        <v>3</v>
      </c>
      <c r="E19" s="86"/>
      <c r="F19" s="86"/>
      <c r="G19" s="105">
        <f>B19+D19</f>
        <v>86</v>
      </c>
      <c r="H19" s="105"/>
    </row>
    <row r="20" spans="2:11">
      <c r="B20" s="64"/>
      <c r="C20" s="64"/>
      <c r="D20" s="64"/>
      <c r="E20" s="64"/>
      <c r="F20" s="64"/>
      <c r="G20" s="64"/>
      <c r="H20" s="64"/>
      <c r="K20" s="62"/>
    </row>
    <row r="21" spans="2:11">
      <c r="B21" s="61" t="s">
        <v>20</v>
      </c>
      <c r="C21" s="61"/>
      <c r="D21" s="61"/>
      <c r="E21" s="61"/>
      <c r="F21" s="61"/>
      <c r="G21" s="61"/>
      <c r="H21" s="61"/>
    </row>
    <row r="22" spans="2:11">
      <c r="B22" s="101" t="s">
        <v>69</v>
      </c>
      <c r="C22" s="101"/>
      <c r="D22" s="101"/>
      <c r="E22" s="101"/>
      <c r="F22" s="101"/>
      <c r="G22" s="101"/>
      <c r="H22" s="67" t="s">
        <v>58</v>
      </c>
    </row>
    <row r="23" spans="2:11">
      <c r="B23" s="101" t="s">
        <v>70</v>
      </c>
      <c r="C23" s="101"/>
      <c r="D23" s="101"/>
      <c r="E23" s="101"/>
      <c r="F23" s="101"/>
      <c r="G23" s="101"/>
      <c r="H23" s="67" t="s">
        <v>59</v>
      </c>
    </row>
    <row r="27" spans="2:11">
      <c r="F27" s="108"/>
      <c r="G27" s="109"/>
    </row>
  </sheetData>
  <mergeCells count="14">
    <mergeCell ref="B18:C18"/>
    <mergeCell ref="D18:F18"/>
    <mergeCell ref="G18:H18"/>
    <mergeCell ref="B2:E2"/>
    <mergeCell ref="F2:G2"/>
    <mergeCell ref="B4:B5"/>
    <mergeCell ref="C4:E4"/>
    <mergeCell ref="F4:H4"/>
    <mergeCell ref="F27:G27"/>
    <mergeCell ref="B22:G22"/>
    <mergeCell ref="B23:G23"/>
    <mergeCell ref="B19:C19"/>
    <mergeCell ref="D19:F19"/>
    <mergeCell ref="G19:H19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B2:K27"/>
  <sheetViews>
    <sheetView topLeftCell="A7" workbookViewId="0">
      <selection activeCell="G7" sqref="G7"/>
    </sheetView>
  </sheetViews>
  <sheetFormatPr defaultRowHeight="15"/>
  <cols>
    <col min="1" max="1" width="2.5703125" customWidth="1"/>
    <col min="2" max="2" width="18.5703125" customWidth="1"/>
    <col min="3" max="3" width="17" customWidth="1"/>
    <col min="4" max="4" width="13.42578125" customWidth="1"/>
    <col min="5" max="5" width="15.28515625" customWidth="1"/>
    <col min="6" max="6" width="17.42578125" customWidth="1"/>
    <col min="7" max="7" width="19.28515625" customWidth="1"/>
    <col min="8" max="8" width="16.5703125" customWidth="1"/>
  </cols>
  <sheetData>
    <row r="2" spans="2:8" ht="18.75">
      <c r="B2" s="102" t="s">
        <v>11</v>
      </c>
      <c r="C2" s="102"/>
      <c r="D2" s="102"/>
      <c r="E2" s="102"/>
      <c r="F2" s="103" t="s">
        <v>71</v>
      </c>
      <c r="G2" s="103"/>
      <c r="H2" s="64"/>
    </row>
    <row r="3" spans="2:8">
      <c r="B3" s="64"/>
      <c r="C3" s="64"/>
      <c r="D3" s="64"/>
      <c r="E3" s="64"/>
      <c r="F3" s="64"/>
      <c r="G3" s="64"/>
      <c r="H3" s="64"/>
    </row>
    <row r="4" spans="2:8">
      <c r="B4" s="104" t="s">
        <v>10</v>
      </c>
      <c r="C4" s="86" t="s">
        <v>1</v>
      </c>
      <c r="D4" s="86"/>
      <c r="E4" s="86"/>
      <c r="F4" s="86" t="s">
        <v>2</v>
      </c>
      <c r="G4" s="86"/>
      <c r="H4" s="86"/>
    </row>
    <row r="5" spans="2:8">
      <c r="B5" s="104"/>
      <c r="C5" s="59" t="s">
        <v>16</v>
      </c>
      <c r="D5" s="59" t="s">
        <v>17</v>
      </c>
      <c r="E5" s="59" t="s">
        <v>3</v>
      </c>
      <c r="F5" s="59" t="s">
        <v>16</v>
      </c>
      <c r="G5" s="59" t="s">
        <v>17</v>
      </c>
      <c r="H5" s="59" t="s">
        <v>3</v>
      </c>
    </row>
    <row r="6" spans="2:8">
      <c r="B6" s="64" t="s">
        <v>4</v>
      </c>
      <c r="C6" s="26">
        <f>'[1]FEB - 26'!$D$73+'[1]FEB - 26'!$D$87+'[1]FEB - 26'!$D$102+'[1]FEB - 26'!$D$129+'[1]FEB - 26'!$D$151</f>
        <v>866000</v>
      </c>
      <c r="D6" s="28">
        <f>'[1]FEB - 26'!$E$73+'[1]FEB - 26'!$E$87+'[1]FEB - 26'!$E$102+'[1]FEB - 26'!$E$129+'[1]FEB - 26'!$E$151</f>
        <v>715262</v>
      </c>
      <c r="E6" s="16">
        <f>D6/C6</f>
        <v>0.82593764434180139</v>
      </c>
      <c r="F6" s="30">
        <f>C6+'JAN - 2026'!F6</f>
        <v>1849000</v>
      </c>
      <c r="G6" s="28">
        <f>D6+'JAN - 2026'!G6</f>
        <v>1382897</v>
      </c>
      <c r="H6" s="16">
        <f>G6/F6</f>
        <v>0.74791617090319096</v>
      </c>
    </row>
    <row r="7" spans="2:8">
      <c r="B7" s="64" t="s">
        <v>5</v>
      </c>
      <c r="C7" s="26">
        <f>'[1]FEB - 26'!$H$73+'[1]FEB - 26'!$H$87+'[1]FEB - 26'!$H$102+'[1]FEB - 26'!$H$129+'[1]FEB - 26'!$H$151</f>
        <v>1356831</v>
      </c>
      <c r="D7" s="28">
        <f>'[1]FEB - 26'!$I$73+'[1]FEB - 26'!$I$87+'[1]FEB - 26'!$I$102+'[1]FEB - 26'!$I$129+'[1]FEB - 26'!$I$151</f>
        <v>674510</v>
      </c>
      <c r="E7" s="16">
        <f>D7/C7</f>
        <v>0.49712160173227177</v>
      </c>
      <c r="F7" s="30">
        <f>C7+'JAN - 2026'!F7</f>
        <v>2590219</v>
      </c>
      <c r="G7" s="28">
        <f>D7+'JAN - 2026'!G7</f>
        <v>1083470</v>
      </c>
      <c r="H7" s="16">
        <f>G7/F7</f>
        <v>0.41829281616728159</v>
      </c>
    </row>
    <row r="8" spans="2:8">
      <c r="B8" s="64"/>
      <c r="C8" s="65"/>
      <c r="D8" s="65"/>
      <c r="E8" s="65"/>
      <c r="F8" s="65"/>
      <c r="G8" s="65"/>
      <c r="H8" s="65"/>
    </row>
    <row r="9" spans="2:8">
      <c r="B9" s="64"/>
      <c r="C9" s="65"/>
      <c r="D9" s="65"/>
      <c r="E9" s="65"/>
      <c r="F9" s="65"/>
      <c r="G9" s="65"/>
      <c r="H9" s="65"/>
    </row>
    <row r="10" spans="2:8">
      <c r="B10" s="64"/>
      <c r="C10" s="65"/>
      <c r="D10" s="65"/>
      <c r="E10" s="65"/>
      <c r="F10" s="65"/>
      <c r="G10" s="65"/>
      <c r="H10" s="65"/>
    </row>
    <row r="11" spans="2:8">
      <c r="B11" s="64"/>
      <c r="C11" s="65"/>
      <c r="D11" s="65"/>
      <c r="E11" s="65"/>
      <c r="F11" s="65"/>
      <c r="G11" s="65"/>
      <c r="H11" s="65"/>
    </row>
    <row r="12" spans="2:8">
      <c r="B12" s="64"/>
      <c r="C12" s="65"/>
      <c r="D12" s="65"/>
      <c r="E12" s="65"/>
      <c r="F12" s="65"/>
      <c r="G12" s="65"/>
      <c r="H12" s="65"/>
    </row>
    <row r="13" spans="2:8">
      <c r="B13" s="64"/>
      <c r="C13" s="65"/>
      <c r="D13" s="65"/>
      <c r="E13" s="65"/>
      <c r="F13" s="65"/>
      <c r="G13" s="65"/>
      <c r="H13" s="65"/>
    </row>
    <row r="14" spans="2:8">
      <c r="B14" s="64"/>
      <c r="C14" s="65"/>
      <c r="D14" s="65"/>
      <c r="E14" s="65"/>
      <c r="F14" s="65"/>
      <c r="G14" s="65"/>
      <c r="H14" s="65"/>
    </row>
    <row r="15" spans="2:8">
      <c r="B15" s="64"/>
      <c r="C15" s="65"/>
      <c r="D15" s="65"/>
      <c r="E15" s="65"/>
      <c r="F15" s="65"/>
      <c r="G15" s="65"/>
      <c r="H15" s="65"/>
    </row>
    <row r="16" spans="2:8">
      <c r="B16" s="64"/>
      <c r="C16" s="65"/>
      <c r="D16" s="65"/>
      <c r="E16" s="65"/>
      <c r="F16" s="65"/>
      <c r="G16" s="65"/>
      <c r="H16" s="65"/>
    </row>
    <row r="17" spans="2:11">
      <c r="B17" s="66" t="s">
        <v>9</v>
      </c>
      <c r="C17" s="64"/>
      <c r="D17" s="64"/>
      <c r="E17" s="64"/>
      <c r="F17" s="64"/>
      <c r="G17" s="64"/>
      <c r="H17" s="64"/>
    </row>
    <row r="18" spans="2:11">
      <c r="B18" s="86" t="s">
        <v>6</v>
      </c>
      <c r="C18" s="86"/>
      <c r="D18" s="86" t="s">
        <v>19</v>
      </c>
      <c r="E18" s="86"/>
      <c r="F18" s="86"/>
      <c r="G18" s="105" t="s">
        <v>7</v>
      </c>
      <c r="H18" s="105"/>
    </row>
    <row r="19" spans="2:11">
      <c r="B19" s="86">
        <v>86</v>
      </c>
      <c r="C19" s="86"/>
      <c r="D19" s="86">
        <v>4</v>
      </c>
      <c r="E19" s="86"/>
      <c r="F19" s="86"/>
      <c r="G19" s="105">
        <f>B19+D19</f>
        <v>90</v>
      </c>
      <c r="H19" s="105"/>
    </row>
    <row r="20" spans="2:11">
      <c r="B20" s="64"/>
      <c r="C20" s="64"/>
      <c r="D20" s="64"/>
      <c r="E20" s="64"/>
      <c r="F20" s="64"/>
      <c r="G20" s="64"/>
      <c r="H20" s="64"/>
      <c r="K20" s="62"/>
    </row>
    <row r="21" spans="2:11">
      <c r="B21" s="61" t="s">
        <v>20</v>
      </c>
      <c r="C21" s="61"/>
      <c r="D21" s="61"/>
      <c r="E21" s="61"/>
      <c r="F21" s="61"/>
      <c r="G21" s="61"/>
      <c r="H21" s="61"/>
    </row>
    <row r="22" spans="2:11">
      <c r="B22" s="101" t="s">
        <v>72</v>
      </c>
      <c r="C22" s="101"/>
      <c r="D22" s="101"/>
      <c r="E22" s="101"/>
      <c r="F22" s="101"/>
      <c r="G22" s="101"/>
      <c r="H22" s="67" t="s">
        <v>74</v>
      </c>
    </row>
    <row r="23" spans="2:11">
      <c r="B23" s="101" t="s">
        <v>73</v>
      </c>
      <c r="C23" s="101"/>
      <c r="D23" s="101"/>
      <c r="E23" s="101"/>
      <c r="F23" s="101"/>
      <c r="G23" s="101"/>
      <c r="H23" s="67" t="s">
        <v>75</v>
      </c>
    </row>
    <row r="27" spans="2:11">
      <c r="F27" s="108"/>
      <c r="G27" s="109"/>
    </row>
  </sheetData>
  <mergeCells count="14">
    <mergeCell ref="F27:G27"/>
    <mergeCell ref="B2:E2"/>
    <mergeCell ref="F2:G2"/>
    <mergeCell ref="B4:B5"/>
    <mergeCell ref="C4:E4"/>
    <mergeCell ref="F4:H4"/>
    <mergeCell ref="B18:C18"/>
    <mergeCell ref="D18:F18"/>
    <mergeCell ref="G18:H18"/>
    <mergeCell ref="B19:C19"/>
    <mergeCell ref="D19:F19"/>
    <mergeCell ref="G19:H19"/>
    <mergeCell ref="B22:G22"/>
    <mergeCell ref="B23:G23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B2:K26"/>
  <sheetViews>
    <sheetView topLeftCell="A13" workbookViewId="0">
      <selection activeCell="N18" sqref="N18"/>
    </sheetView>
  </sheetViews>
  <sheetFormatPr defaultRowHeight="15"/>
  <cols>
    <col min="1" max="1" width="2.5703125" customWidth="1"/>
    <col min="2" max="2" width="18.5703125" customWidth="1"/>
    <col min="3" max="3" width="17" customWidth="1"/>
    <col min="4" max="4" width="13.42578125" customWidth="1"/>
    <col min="5" max="5" width="15.28515625" customWidth="1"/>
    <col min="6" max="6" width="17.42578125" customWidth="1"/>
    <col min="7" max="7" width="19.28515625" customWidth="1"/>
    <col min="8" max="8" width="16.5703125" customWidth="1"/>
  </cols>
  <sheetData>
    <row r="2" spans="2:8" ht="18.75">
      <c r="B2" s="102" t="s">
        <v>11</v>
      </c>
      <c r="C2" s="102"/>
      <c r="D2" s="102"/>
      <c r="E2" s="102"/>
      <c r="F2" s="103" t="s">
        <v>71</v>
      </c>
      <c r="G2" s="103"/>
      <c r="H2" s="64"/>
    </row>
    <row r="3" spans="2:8">
      <c r="B3" s="64"/>
      <c r="C3" s="64"/>
      <c r="D3" s="64"/>
      <c r="E3" s="64"/>
      <c r="F3" s="64"/>
      <c r="G3" s="64"/>
      <c r="H3" s="64"/>
    </row>
    <row r="4" spans="2:8">
      <c r="B4" s="104" t="s">
        <v>10</v>
      </c>
      <c r="C4" s="86" t="s">
        <v>1</v>
      </c>
      <c r="D4" s="86"/>
      <c r="E4" s="86"/>
      <c r="F4" s="86" t="s">
        <v>2</v>
      </c>
      <c r="G4" s="86"/>
      <c r="H4" s="86"/>
    </row>
    <row r="5" spans="2:8">
      <c r="B5" s="104"/>
      <c r="C5" s="59" t="s">
        <v>16</v>
      </c>
      <c r="D5" s="59" t="s">
        <v>17</v>
      </c>
      <c r="E5" s="59" t="s">
        <v>3</v>
      </c>
      <c r="F5" s="59" t="s">
        <v>16</v>
      </c>
      <c r="G5" s="59" t="s">
        <v>17</v>
      </c>
      <c r="H5" s="59" t="s">
        <v>3</v>
      </c>
    </row>
    <row r="6" spans="2:8">
      <c r="B6" s="64" t="s">
        <v>4</v>
      </c>
      <c r="C6" s="26">
        <f>'[1]March -2026'!$D$70+'[1]March -2026'!$D$84+'[1]March -2026'!$D$99+'[1]March -2026'!$D$126+'[1]March -2026'!$D$144</f>
        <v>768000</v>
      </c>
      <c r="D6" s="28">
        <f>'[1]March -2026'!$E$70+'[1]March -2026'!$E$84+'[1]March -2026'!$E$99+'[1]March -2026'!$E$126+'[1]March -2026'!$E$144</f>
        <v>869738</v>
      </c>
      <c r="E6" s="16">
        <f>D6/C6</f>
        <v>1.1324713541666667</v>
      </c>
      <c r="F6" s="30">
        <f>C6+'Feb -2026'!F6</f>
        <v>2617000</v>
      </c>
      <c r="G6" s="28">
        <f>D6+'Feb -2026'!G6</f>
        <v>2252635</v>
      </c>
      <c r="H6" s="16">
        <f>G6/F6</f>
        <v>0.8607699656094765</v>
      </c>
    </row>
    <row r="7" spans="2:8">
      <c r="B7" s="64" t="s">
        <v>5</v>
      </c>
      <c r="C7" s="26">
        <f>'[1]March -2026'!$H$70+'[1]March -2026'!$H$84+'[1]March -2026'!$H$99+'[1]March -2026'!$H$126+'[1]March -2026'!$H$144</f>
        <v>1340137</v>
      </c>
      <c r="D7" s="28">
        <f>'[1]March -2026'!$I$70+'[1]March -2026'!$I$84+'[1]March -2026'!$I$99+'[1]March -2026'!$I$126+'[1]March -2026'!$I$144</f>
        <v>816404</v>
      </c>
      <c r="E7" s="16">
        <f>D7/C7</f>
        <v>0.60919443310646593</v>
      </c>
      <c r="F7" s="30">
        <f>C7+'Feb -2026'!F7</f>
        <v>3930356</v>
      </c>
      <c r="G7" s="28">
        <f>D7+'Feb -2026'!G7</f>
        <v>1899874</v>
      </c>
      <c r="H7" s="16">
        <f>G7/F7</f>
        <v>0.48338471120682197</v>
      </c>
    </row>
    <row r="8" spans="2:8">
      <c r="B8" s="64"/>
      <c r="C8" s="65"/>
      <c r="D8" s="65"/>
      <c r="E8" s="65"/>
      <c r="F8" s="65"/>
      <c r="G8" s="65"/>
      <c r="H8" s="65"/>
    </row>
    <row r="9" spans="2:8">
      <c r="B9" s="64"/>
      <c r="C9" s="65"/>
      <c r="D9" s="65"/>
      <c r="E9" s="65"/>
      <c r="F9" s="65"/>
      <c r="G9" s="65"/>
      <c r="H9" s="65"/>
    </row>
    <row r="10" spans="2:8">
      <c r="B10" s="64"/>
      <c r="C10" s="65"/>
      <c r="D10" s="65"/>
      <c r="E10" s="65"/>
      <c r="F10" s="65"/>
      <c r="G10" s="65"/>
      <c r="H10" s="65"/>
    </row>
    <row r="11" spans="2:8">
      <c r="B11" s="64"/>
      <c r="C11" s="65"/>
      <c r="D11" s="65"/>
      <c r="E11" s="65"/>
      <c r="F11" s="65"/>
      <c r="G11" s="65"/>
      <c r="H11" s="65"/>
    </row>
    <row r="12" spans="2:8">
      <c r="B12" s="64"/>
      <c r="C12" s="65"/>
      <c r="D12" s="65"/>
      <c r="E12" s="65"/>
      <c r="F12" s="65"/>
      <c r="G12" s="65"/>
      <c r="H12" s="65"/>
    </row>
    <row r="13" spans="2:8">
      <c r="B13" s="64"/>
      <c r="C13" s="65"/>
      <c r="D13" s="65"/>
      <c r="E13" s="65"/>
      <c r="F13" s="65"/>
      <c r="G13" s="65"/>
      <c r="H13" s="65"/>
    </row>
    <row r="14" spans="2:8">
      <c r="B14" s="64"/>
      <c r="C14" s="65"/>
      <c r="D14" s="65"/>
      <c r="E14" s="65"/>
      <c r="F14" s="65"/>
      <c r="G14" s="65"/>
      <c r="H14" s="65"/>
    </row>
    <row r="15" spans="2:8">
      <c r="B15" s="64"/>
      <c r="C15" s="64"/>
      <c r="D15" s="64"/>
      <c r="E15" s="64"/>
      <c r="F15" s="64"/>
      <c r="G15" s="64"/>
      <c r="H15" s="64"/>
    </row>
    <row r="16" spans="2:8">
      <c r="B16" s="66" t="s">
        <v>9</v>
      </c>
      <c r="C16" s="64"/>
      <c r="D16" s="64"/>
      <c r="E16" s="64"/>
      <c r="F16" s="64"/>
      <c r="G16" s="64"/>
      <c r="H16" s="64"/>
    </row>
    <row r="17" spans="2:11">
      <c r="B17" s="86" t="s">
        <v>6</v>
      </c>
      <c r="C17" s="86"/>
      <c r="D17" s="86" t="s">
        <v>19</v>
      </c>
      <c r="E17" s="86"/>
      <c r="F17" s="86"/>
      <c r="G17" s="105" t="s">
        <v>7</v>
      </c>
      <c r="H17" s="105"/>
    </row>
    <row r="18" spans="2:11">
      <c r="B18" s="86">
        <v>90</v>
      </c>
      <c r="C18" s="86"/>
      <c r="D18" s="86">
        <v>2</v>
      </c>
      <c r="E18" s="86"/>
      <c r="F18" s="86"/>
      <c r="G18" s="105">
        <f>B18+D18</f>
        <v>92</v>
      </c>
      <c r="H18" s="105"/>
    </row>
    <row r="19" spans="2:11">
      <c r="B19" s="64"/>
      <c r="C19" s="64"/>
      <c r="D19" s="64"/>
      <c r="E19" s="64"/>
      <c r="F19" s="64"/>
      <c r="G19" s="64"/>
      <c r="H19" s="64"/>
      <c r="K19" s="62"/>
    </row>
    <row r="20" spans="2:11">
      <c r="B20" s="61" t="s">
        <v>20</v>
      </c>
      <c r="C20" s="61"/>
      <c r="D20" s="61"/>
      <c r="E20" s="61"/>
      <c r="F20" s="61"/>
      <c r="G20" s="61"/>
      <c r="H20" s="61"/>
    </row>
    <row r="21" spans="2:11">
      <c r="B21" s="101" t="s">
        <v>76</v>
      </c>
      <c r="C21" s="101"/>
      <c r="D21" s="101"/>
      <c r="E21" s="101"/>
      <c r="F21" s="101"/>
      <c r="G21" s="101"/>
      <c r="H21" s="67" t="s">
        <v>78</v>
      </c>
    </row>
    <row r="22" spans="2:11">
      <c r="B22" s="101" t="s">
        <v>77</v>
      </c>
      <c r="C22" s="101"/>
      <c r="D22" s="101"/>
      <c r="E22" s="101"/>
      <c r="F22" s="101"/>
      <c r="G22" s="101"/>
      <c r="H22" s="67" t="s">
        <v>79</v>
      </c>
    </row>
    <row r="23" spans="2:11">
      <c r="B23" s="111" t="s">
        <v>83</v>
      </c>
      <c r="C23" s="112"/>
      <c r="D23" s="112"/>
      <c r="E23" s="112"/>
      <c r="F23" s="112"/>
      <c r="G23" s="113"/>
    </row>
    <row r="26" spans="2:11">
      <c r="F26" s="108"/>
      <c r="G26" s="109"/>
    </row>
  </sheetData>
  <mergeCells count="15">
    <mergeCell ref="F26:G26"/>
    <mergeCell ref="B23:G23"/>
    <mergeCell ref="B2:E2"/>
    <mergeCell ref="F2:G2"/>
    <mergeCell ref="B4:B5"/>
    <mergeCell ref="C4:E4"/>
    <mergeCell ref="F4:H4"/>
    <mergeCell ref="B17:C17"/>
    <mergeCell ref="D17:F17"/>
    <mergeCell ref="G17:H17"/>
    <mergeCell ref="B18:C18"/>
    <mergeCell ref="D18:F18"/>
    <mergeCell ref="G18:H18"/>
    <mergeCell ref="B21:G21"/>
    <mergeCell ref="B22:G22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B2:K26"/>
  <sheetViews>
    <sheetView tabSelected="1" workbookViewId="0">
      <selection activeCell="K15" sqref="K15"/>
    </sheetView>
  </sheetViews>
  <sheetFormatPr defaultRowHeight="15"/>
  <cols>
    <col min="1" max="1" width="2.5703125" customWidth="1"/>
    <col min="2" max="2" width="18.5703125" customWidth="1"/>
    <col min="3" max="3" width="17" customWidth="1"/>
    <col min="4" max="4" width="13.42578125" customWidth="1"/>
    <col min="5" max="5" width="15.28515625" customWidth="1"/>
    <col min="6" max="6" width="17.42578125" customWidth="1"/>
    <col min="7" max="7" width="19.28515625" customWidth="1"/>
    <col min="8" max="8" width="16.5703125" customWidth="1"/>
  </cols>
  <sheetData>
    <row r="2" spans="2:11" ht="18.75">
      <c r="B2" s="102" t="s">
        <v>11</v>
      </c>
      <c r="C2" s="102"/>
      <c r="D2" s="102"/>
      <c r="E2" s="102"/>
      <c r="F2" s="103" t="s">
        <v>87</v>
      </c>
      <c r="G2" s="103"/>
      <c r="H2" s="64"/>
    </row>
    <row r="3" spans="2:11">
      <c r="B3" s="64"/>
      <c r="C3" s="64"/>
      <c r="D3" s="64"/>
      <c r="E3" s="64"/>
      <c r="F3" s="64"/>
      <c r="G3" s="64"/>
      <c r="H3" s="64"/>
    </row>
    <row r="4" spans="2:11">
      <c r="B4" s="104" t="s">
        <v>10</v>
      </c>
      <c r="C4" s="86" t="s">
        <v>1</v>
      </c>
      <c r="D4" s="86"/>
      <c r="E4" s="86"/>
      <c r="F4" s="86" t="s">
        <v>2</v>
      </c>
      <c r="G4" s="86"/>
      <c r="H4" s="86"/>
    </row>
    <row r="5" spans="2:11">
      <c r="B5" s="104"/>
      <c r="C5" s="59" t="s">
        <v>16</v>
      </c>
      <c r="D5" s="59" t="s">
        <v>17</v>
      </c>
      <c r="E5" s="59" t="s">
        <v>3</v>
      </c>
      <c r="F5" s="59" t="s">
        <v>16</v>
      </c>
      <c r="G5" s="59" t="s">
        <v>17</v>
      </c>
      <c r="H5" s="59" t="s">
        <v>3</v>
      </c>
    </row>
    <row r="6" spans="2:11">
      <c r="B6" s="64" t="s">
        <v>4</v>
      </c>
      <c r="C6" s="26">
        <f>'[1]Apr -2026'!$D$76+'[1]Apr -2026'!$D$103+'[1]Apr -2026'!$D$117+'[1]Apr -2026'!$D$132+'[1]Apr -2026'!$D$153</f>
        <v>1050000</v>
      </c>
      <c r="D6" s="28">
        <f>'[1]Apr -2026'!$E$76+'[1]Apr -2026'!$E$103+'[1]Apr -2026'!$E$117+'[1]Apr -2026'!$E$132+'[1]Apr -2026'!$E$153</f>
        <v>863300</v>
      </c>
      <c r="E6" s="16">
        <f>D6/C6</f>
        <v>0.82219047619047614</v>
      </c>
      <c r="F6" s="30">
        <f>C6+'March - 2026'!F6</f>
        <v>3667000</v>
      </c>
      <c r="G6" s="28">
        <f>D6+'March - 2026'!G6</f>
        <v>3115935</v>
      </c>
      <c r="H6" s="16">
        <f>G6/F6</f>
        <v>0.84972320698118353</v>
      </c>
    </row>
    <row r="7" spans="2:11">
      <c r="B7" s="64" t="s">
        <v>5</v>
      </c>
      <c r="C7" s="26">
        <f>'[1]Apr -2026'!$H$76+'[1]Apr -2026'!$H$103+'[1]Apr -2026'!$H$117+'[1]Apr -2026'!$H$132+'[1]Apr -2026'!$H$153</f>
        <v>1454853</v>
      </c>
      <c r="D7" s="28">
        <f>'[1]Apr -2026'!$I$76+'[1]Apr -2026'!$I$103+'[1]Apr -2026'!$I$117+'[1]Apr -2026'!$I$132+'[1]Apr -2026'!$I$153</f>
        <v>681012</v>
      </c>
      <c r="E7" s="16">
        <f>D7/C7</f>
        <v>0.46809677678775796</v>
      </c>
      <c r="F7" s="30">
        <f>C7+'March - 2026'!F7</f>
        <v>5385209</v>
      </c>
      <c r="G7" s="28">
        <f>D7+'March - 2026'!G7</f>
        <v>2580886</v>
      </c>
      <c r="H7" s="16">
        <f>G7/F7</f>
        <v>0.47925456560738866</v>
      </c>
    </row>
    <row r="8" spans="2:11">
      <c r="B8" s="64"/>
      <c r="C8" s="65"/>
      <c r="D8" s="65"/>
      <c r="E8" s="65"/>
      <c r="F8" s="65"/>
      <c r="G8" s="65"/>
      <c r="H8" s="65"/>
    </row>
    <row r="9" spans="2:11">
      <c r="B9" s="64"/>
      <c r="C9" s="65"/>
      <c r="D9" s="65"/>
      <c r="E9" s="65"/>
      <c r="F9" s="65"/>
      <c r="G9" s="65"/>
      <c r="H9" s="65"/>
    </row>
    <row r="10" spans="2:11">
      <c r="B10" s="64"/>
      <c r="C10" s="65"/>
      <c r="D10" s="65"/>
      <c r="E10" s="65"/>
      <c r="F10" s="65"/>
      <c r="G10" s="65"/>
      <c r="H10" s="65"/>
    </row>
    <row r="11" spans="2:11">
      <c r="B11" s="64"/>
      <c r="C11" s="65"/>
      <c r="D11" s="65"/>
      <c r="E11" s="65"/>
      <c r="F11" s="65"/>
      <c r="G11" s="65"/>
      <c r="H11" s="65"/>
    </row>
    <row r="12" spans="2:11">
      <c r="B12" s="64"/>
      <c r="C12" s="65"/>
      <c r="D12" s="65"/>
      <c r="E12" s="65"/>
      <c r="F12" s="65"/>
      <c r="G12" s="65"/>
      <c r="H12" s="65"/>
    </row>
    <row r="13" spans="2:11">
      <c r="B13" s="64"/>
      <c r="C13" s="65"/>
      <c r="D13" s="65"/>
      <c r="E13" s="65"/>
      <c r="F13" s="65"/>
      <c r="G13" s="65"/>
      <c r="H13" s="65"/>
    </row>
    <row r="14" spans="2:11">
      <c r="B14" s="64"/>
      <c r="C14" s="65"/>
      <c r="D14" s="65"/>
      <c r="E14" s="65"/>
      <c r="F14" s="65"/>
      <c r="G14" s="65"/>
      <c r="H14" s="65"/>
      <c r="K14" t="s">
        <v>80</v>
      </c>
    </row>
    <row r="15" spans="2:11">
      <c r="B15" s="64"/>
      <c r="C15" s="64"/>
      <c r="D15" s="64"/>
      <c r="E15" s="64"/>
      <c r="F15" s="64"/>
      <c r="G15" s="64"/>
      <c r="H15" s="64"/>
    </row>
    <row r="16" spans="2:11">
      <c r="B16" s="66" t="s">
        <v>9</v>
      </c>
      <c r="C16" s="64"/>
      <c r="D16" s="64"/>
      <c r="E16" s="64"/>
      <c r="F16" s="64"/>
      <c r="G16" s="64"/>
      <c r="H16" s="64"/>
    </row>
    <row r="17" spans="2:11">
      <c r="B17" s="86" t="s">
        <v>6</v>
      </c>
      <c r="C17" s="86"/>
      <c r="D17" s="86" t="s">
        <v>19</v>
      </c>
      <c r="E17" s="86"/>
      <c r="F17" s="86"/>
      <c r="G17" s="105" t="s">
        <v>7</v>
      </c>
      <c r="H17" s="105"/>
    </row>
    <row r="18" spans="2:11">
      <c r="B18" s="86">
        <v>92</v>
      </c>
      <c r="C18" s="86"/>
      <c r="D18" s="86">
        <v>5</v>
      </c>
      <c r="E18" s="86"/>
      <c r="F18" s="86"/>
      <c r="G18" s="105">
        <f>B18+D18</f>
        <v>97</v>
      </c>
      <c r="H18" s="105"/>
    </row>
    <row r="19" spans="2:11">
      <c r="B19" s="64"/>
      <c r="C19" s="64"/>
      <c r="D19" s="64"/>
      <c r="E19" s="64"/>
      <c r="F19" s="64"/>
      <c r="G19" s="64"/>
      <c r="H19" s="64"/>
      <c r="K19" s="62"/>
    </row>
    <row r="20" spans="2:11">
      <c r="B20" s="61" t="s">
        <v>20</v>
      </c>
      <c r="C20" s="61"/>
      <c r="D20" s="61"/>
      <c r="E20" s="61"/>
      <c r="F20" s="61"/>
      <c r="G20" s="61"/>
      <c r="H20" s="61"/>
    </row>
    <row r="21" spans="2:11">
      <c r="B21" s="101" t="s">
        <v>81</v>
      </c>
      <c r="C21" s="101"/>
      <c r="D21" s="101"/>
      <c r="E21" s="101"/>
      <c r="F21" s="101"/>
      <c r="G21" s="101"/>
      <c r="H21" s="67" t="s">
        <v>84</v>
      </c>
    </row>
    <row r="22" spans="2:11">
      <c r="B22" s="101" t="s">
        <v>82</v>
      </c>
      <c r="C22" s="101"/>
      <c r="D22" s="101"/>
      <c r="E22" s="101"/>
      <c r="F22" s="101"/>
      <c r="G22" s="101"/>
      <c r="H22" s="67" t="s">
        <v>85</v>
      </c>
    </row>
    <row r="23" spans="2:11">
      <c r="B23" s="101" t="s">
        <v>86</v>
      </c>
      <c r="C23" s="101"/>
      <c r="D23" s="101"/>
      <c r="E23" s="101"/>
      <c r="F23" s="101"/>
      <c r="G23" s="101"/>
      <c r="H23" s="101"/>
    </row>
    <row r="26" spans="2:11">
      <c r="F26" s="108"/>
      <c r="G26" s="109"/>
    </row>
  </sheetData>
  <mergeCells count="15">
    <mergeCell ref="F26:G26"/>
    <mergeCell ref="B23:H23"/>
    <mergeCell ref="B2:E2"/>
    <mergeCell ref="F2:G2"/>
    <mergeCell ref="B4:B5"/>
    <mergeCell ref="C4:E4"/>
    <mergeCell ref="F4:H4"/>
    <mergeCell ref="B17:C17"/>
    <mergeCell ref="D17:F17"/>
    <mergeCell ref="G17:H17"/>
    <mergeCell ref="B18:C18"/>
    <mergeCell ref="D18:F18"/>
    <mergeCell ref="G18:H18"/>
    <mergeCell ref="B21:G21"/>
    <mergeCell ref="B22:G22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B2:E34"/>
  <sheetViews>
    <sheetView topLeftCell="A10" workbookViewId="0">
      <selection activeCell="O21" sqref="O21"/>
    </sheetView>
  </sheetViews>
  <sheetFormatPr defaultRowHeight="15"/>
  <cols>
    <col min="2" max="2" width="11.140625" customWidth="1"/>
    <col min="3" max="3" width="15.7109375" customWidth="1"/>
    <col min="4" max="4" width="13.42578125" customWidth="1"/>
    <col min="5" max="5" width="8.140625" customWidth="1"/>
    <col min="6" max="6" width="3.85546875" customWidth="1"/>
  </cols>
  <sheetData>
    <row r="2" spans="2:5">
      <c r="B2" s="18" t="s">
        <v>13</v>
      </c>
    </row>
    <row r="4" spans="2:5">
      <c r="B4" s="3" t="s">
        <v>0</v>
      </c>
      <c r="C4" s="48" t="s">
        <v>39</v>
      </c>
      <c r="D4" s="49" t="s">
        <v>12</v>
      </c>
      <c r="E4" s="3" t="s">
        <v>3</v>
      </c>
    </row>
    <row r="5" spans="2:5">
      <c r="B5" s="4">
        <v>46023</v>
      </c>
      <c r="C5" s="33">
        <f>'JAN - 2026'!C6</f>
        <v>983000</v>
      </c>
      <c r="D5" s="68">
        <f>'JAN - 2026'!D6</f>
        <v>667635</v>
      </c>
      <c r="E5" s="5">
        <f t="shared" ref="E5:E16" si="0">D5/C5</f>
        <v>0.67918107833163788</v>
      </c>
    </row>
    <row r="6" spans="2:5">
      <c r="B6" s="4">
        <v>46054</v>
      </c>
      <c r="C6" s="33">
        <f>'Feb -2026'!C6</f>
        <v>866000</v>
      </c>
      <c r="D6" s="68">
        <f>'Feb -2026'!D6</f>
        <v>715262</v>
      </c>
      <c r="E6" s="5">
        <f t="shared" si="0"/>
        <v>0.82593764434180139</v>
      </c>
    </row>
    <row r="7" spans="2:5">
      <c r="B7" s="4">
        <v>46082</v>
      </c>
      <c r="C7" s="32">
        <f>'March - 2026'!C6</f>
        <v>768000</v>
      </c>
      <c r="D7" s="34">
        <f>'March - 2026'!D6</f>
        <v>869738</v>
      </c>
      <c r="E7" s="5">
        <f t="shared" si="0"/>
        <v>1.1324713541666667</v>
      </c>
    </row>
    <row r="8" spans="2:5">
      <c r="B8" s="4">
        <v>46113</v>
      </c>
      <c r="C8" s="32">
        <f>'April -2026'!C6</f>
        <v>1050000</v>
      </c>
      <c r="D8" s="34">
        <f>'April -2026'!D6</f>
        <v>863300</v>
      </c>
      <c r="E8" s="5">
        <f t="shared" si="0"/>
        <v>0.82219047619047614</v>
      </c>
    </row>
    <row r="9" spans="2:5">
      <c r="B9" s="4">
        <v>46143</v>
      </c>
      <c r="C9" s="32"/>
      <c r="D9" s="34"/>
      <c r="E9" s="5" t="e">
        <f t="shared" si="0"/>
        <v>#DIV/0!</v>
      </c>
    </row>
    <row r="10" spans="2:5">
      <c r="B10" s="4">
        <v>46174</v>
      </c>
      <c r="C10" s="32"/>
      <c r="D10" s="34"/>
      <c r="E10" s="5" t="e">
        <f t="shared" si="0"/>
        <v>#DIV/0!</v>
      </c>
    </row>
    <row r="11" spans="2:5">
      <c r="B11" s="4">
        <v>46204</v>
      </c>
      <c r="C11" s="32"/>
      <c r="D11" s="34"/>
      <c r="E11" s="5" t="e">
        <f t="shared" si="0"/>
        <v>#DIV/0!</v>
      </c>
    </row>
    <row r="12" spans="2:5">
      <c r="B12" s="4">
        <v>46235</v>
      </c>
      <c r="C12" s="32"/>
      <c r="D12" s="34"/>
      <c r="E12" s="5" t="e">
        <f t="shared" si="0"/>
        <v>#DIV/0!</v>
      </c>
    </row>
    <row r="13" spans="2:5">
      <c r="B13" s="4">
        <v>46266</v>
      </c>
      <c r="C13" s="32"/>
      <c r="D13" s="34"/>
      <c r="E13" s="5" t="e">
        <f>D13/C13</f>
        <v>#DIV/0!</v>
      </c>
    </row>
    <row r="14" spans="2:5">
      <c r="B14" s="4">
        <v>46296</v>
      </c>
      <c r="C14" s="32"/>
      <c r="D14" s="32"/>
      <c r="E14" s="5" t="e">
        <f t="shared" si="0"/>
        <v>#DIV/0!</v>
      </c>
    </row>
    <row r="15" spans="2:5">
      <c r="B15" s="4">
        <v>46327</v>
      </c>
      <c r="C15" s="32"/>
      <c r="D15" s="34"/>
      <c r="E15" s="5" t="e">
        <f t="shared" si="0"/>
        <v>#DIV/0!</v>
      </c>
    </row>
    <row r="16" spans="2:5">
      <c r="B16" s="4">
        <v>46357</v>
      </c>
      <c r="C16" s="32"/>
      <c r="D16" s="34"/>
      <c r="E16" s="5" t="e">
        <f t="shared" si="0"/>
        <v>#DIV/0!</v>
      </c>
    </row>
    <row r="19" spans="2:5">
      <c r="B19" s="18" t="s">
        <v>14</v>
      </c>
    </row>
    <row r="21" spans="2:5">
      <c r="B21" s="3" t="s">
        <v>0</v>
      </c>
      <c r="C21" s="50" t="s">
        <v>15</v>
      </c>
      <c r="D21" s="49" t="s">
        <v>12</v>
      </c>
      <c r="E21" s="3" t="s">
        <v>3</v>
      </c>
    </row>
    <row r="22" spans="2:5">
      <c r="B22" s="4">
        <v>46023</v>
      </c>
      <c r="C22" s="33">
        <f>'JAN - 2026'!C7</f>
        <v>1233388</v>
      </c>
      <c r="D22" s="68">
        <f>'JAN - 2026'!D7</f>
        <v>408960</v>
      </c>
      <c r="E22" s="5">
        <f t="shared" ref="E22:E33" si="1">D22/C22</f>
        <v>0.33157449237385156</v>
      </c>
    </row>
    <row r="23" spans="2:5">
      <c r="B23" s="4">
        <v>46054</v>
      </c>
      <c r="C23" s="33">
        <f>'Feb -2026'!C7</f>
        <v>1356831</v>
      </c>
      <c r="D23" s="68">
        <f>'Feb -2026'!D7</f>
        <v>674510</v>
      </c>
      <c r="E23" s="5">
        <f t="shared" si="1"/>
        <v>0.49712160173227177</v>
      </c>
    </row>
    <row r="24" spans="2:5">
      <c r="B24" s="4">
        <v>46082</v>
      </c>
      <c r="C24" s="32">
        <f>'March - 2026'!C7</f>
        <v>1340137</v>
      </c>
      <c r="D24" s="34">
        <f>'March - 2026'!D7</f>
        <v>816404</v>
      </c>
      <c r="E24" s="5">
        <f t="shared" si="1"/>
        <v>0.60919443310646593</v>
      </c>
    </row>
    <row r="25" spans="2:5">
      <c r="B25" s="4">
        <v>46113</v>
      </c>
      <c r="C25" s="32">
        <f>'April -2026'!C7</f>
        <v>1454853</v>
      </c>
      <c r="D25" s="34">
        <f>'April -2026'!D7</f>
        <v>681012</v>
      </c>
      <c r="E25" s="5">
        <f t="shared" si="1"/>
        <v>0.46809677678775796</v>
      </c>
    </row>
    <row r="26" spans="2:5">
      <c r="B26" s="4">
        <v>46143</v>
      </c>
      <c r="C26" s="32"/>
      <c r="D26" s="34"/>
      <c r="E26" s="5" t="e">
        <f t="shared" si="1"/>
        <v>#DIV/0!</v>
      </c>
    </row>
    <row r="27" spans="2:5">
      <c r="B27" s="4">
        <v>46174</v>
      </c>
      <c r="C27" s="32"/>
      <c r="D27" s="34"/>
      <c r="E27" s="5" t="e">
        <f t="shared" si="1"/>
        <v>#DIV/0!</v>
      </c>
    </row>
    <row r="28" spans="2:5">
      <c r="B28" s="4">
        <v>46204</v>
      </c>
      <c r="C28" s="32"/>
      <c r="D28" s="34"/>
      <c r="E28" s="5" t="e">
        <f t="shared" si="1"/>
        <v>#DIV/0!</v>
      </c>
    </row>
    <row r="29" spans="2:5">
      <c r="B29" s="4">
        <v>46235</v>
      </c>
      <c r="C29" s="32"/>
      <c r="D29" s="34"/>
      <c r="E29" s="5" t="e">
        <f t="shared" si="1"/>
        <v>#DIV/0!</v>
      </c>
    </row>
    <row r="30" spans="2:5">
      <c r="B30" s="4">
        <v>46266</v>
      </c>
      <c r="C30" s="32"/>
      <c r="D30" s="34"/>
      <c r="E30" s="5" t="e">
        <f>D30/C30</f>
        <v>#DIV/0!</v>
      </c>
    </row>
    <row r="31" spans="2:5">
      <c r="B31" s="4">
        <v>46296</v>
      </c>
      <c r="C31" s="32"/>
      <c r="D31" s="32"/>
      <c r="E31" s="5" t="e">
        <f t="shared" si="1"/>
        <v>#DIV/0!</v>
      </c>
    </row>
    <row r="32" spans="2:5">
      <c r="B32" s="4">
        <v>46327</v>
      </c>
      <c r="C32" s="32"/>
      <c r="D32" s="34"/>
      <c r="E32" s="5" t="e">
        <f t="shared" si="1"/>
        <v>#DIV/0!</v>
      </c>
    </row>
    <row r="33" spans="2:5">
      <c r="B33" s="4">
        <v>46357</v>
      </c>
      <c r="C33" s="32"/>
      <c r="D33" s="34"/>
      <c r="E33" s="5" t="e">
        <f t="shared" si="1"/>
        <v>#DIV/0!</v>
      </c>
    </row>
    <row r="34" spans="2:5">
      <c r="E34" s="58"/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JAN-25</vt:lpstr>
      <vt:lpstr>FEB-25</vt:lpstr>
      <vt:lpstr>MAR-25</vt:lpstr>
      <vt:lpstr>APR-25</vt:lpstr>
      <vt:lpstr>MAY-25</vt:lpstr>
      <vt:lpstr>JUNE-25</vt:lpstr>
      <vt:lpstr>JULY-25</vt:lpstr>
      <vt:lpstr>AUG-25</vt:lpstr>
      <vt:lpstr>SEP-25</vt:lpstr>
      <vt:lpstr>OCT - 25</vt:lpstr>
      <vt:lpstr>NOV - 25</vt:lpstr>
      <vt:lpstr>DEC - 25</vt:lpstr>
      <vt:lpstr>Yearly Summary</vt:lpstr>
      <vt:lpstr>JAN - 2026</vt:lpstr>
      <vt:lpstr>Feb -2026</vt:lpstr>
      <vt:lpstr>March - 2026</vt:lpstr>
      <vt:lpstr>April -2026</vt:lpstr>
      <vt:lpstr>Yearly Summary -2026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bhal</dc:creator>
  <cp:lastModifiedBy>pc</cp:lastModifiedBy>
  <cp:lastPrinted>2026-05-04T12:54:40Z</cp:lastPrinted>
  <dcterms:created xsi:type="dcterms:W3CDTF">2025-01-03T22:28:43Z</dcterms:created>
  <dcterms:modified xsi:type="dcterms:W3CDTF">2026-05-04T12:57:01Z</dcterms:modified>
</cp:coreProperties>
</file>